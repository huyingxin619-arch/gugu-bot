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Y:\P&amp;G\38_行业DID统计\DEVICE ID年度分析\202501-202512\22.非微信-CAID版本\"/>
    </mc:Choice>
  </mc:AlternateContent>
  <xr:revisionPtr revIDLastSave="0" documentId="13_ncr:1_{CE6B0911-D56F-4F80-9BC8-502B18F62F15}" xr6:coauthVersionLast="36" xr6:coauthVersionMax="36" xr10:uidLastSave="{00000000-0000-0000-0000-000000000000}"/>
  <bookViews>
    <workbookView xWindow="0" yWindow="0" windowWidth="22560" windowHeight="9470" xr2:uid="{00000000-000D-0000-FFFF-FFFF00000000}"/>
  </bookViews>
  <sheets>
    <sheet name="Sheet2" sheetId="2" r:id="rId1"/>
    <sheet name="RAW" sheetId="1" r:id="rId2"/>
    <sheet name="整理" sheetId="3" r:id="rId3"/>
  </sheets>
  <externalReferences>
    <externalReference r:id="rId4"/>
  </externalReferences>
  <definedNames>
    <definedName name="_xlnm._FilterDatabase" localSheetId="1" hidden="1">RAW!$A$1:$AM$123</definedName>
    <definedName name="_xlnm._FilterDatabase" localSheetId="2" hidden="1">整理!$A$4:$AB$4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Y26" i="3" l="1"/>
  <c r="Y24" i="3"/>
  <c r="U23" i="3"/>
  <c r="Y22" i="3"/>
  <c r="Q22" i="3"/>
  <c r="U21" i="3"/>
  <c r="T18" i="3"/>
  <c r="S18" i="3"/>
  <c r="Y16" i="3"/>
  <c r="U15" i="3"/>
  <c r="Y14" i="3"/>
  <c r="X13" i="3"/>
  <c r="W13" i="3"/>
  <c r="Y10" i="3"/>
  <c r="T10" i="3"/>
  <c r="AB8" i="3"/>
  <c r="AA8" i="3"/>
  <c r="Y8" i="3"/>
  <c r="V7" i="3"/>
  <c r="U7" i="3"/>
  <c r="Y6" i="3"/>
  <c r="Q6" i="3"/>
  <c r="J6" i="3"/>
  <c r="X6" i="3" s="1"/>
  <c r="J7" i="3"/>
  <c r="AB7" i="3" s="1"/>
  <c r="J8" i="3"/>
  <c r="X8" i="3" s="1"/>
  <c r="J9" i="3"/>
  <c r="AB9" i="3" s="1"/>
  <c r="J10" i="3"/>
  <c r="X10" i="3" s="1"/>
  <c r="J11" i="3"/>
  <c r="AB11" i="3" s="1"/>
  <c r="J12" i="3"/>
  <c r="X12" i="3" s="1"/>
  <c r="J13" i="3"/>
  <c r="AB13" i="3" s="1"/>
  <c r="J14" i="3"/>
  <c r="X14" i="3" s="1"/>
  <c r="J15" i="3"/>
  <c r="AB15" i="3" s="1"/>
  <c r="J16" i="3"/>
  <c r="X16" i="3" s="1"/>
  <c r="J17" i="3"/>
  <c r="AB17" i="3" s="1"/>
  <c r="J18" i="3"/>
  <c r="X18" i="3" s="1"/>
  <c r="J19" i="3"/>
  <c r="AB19" i="3" s="1"/>
  <c r="J20" i="3"/>
  <c r="X20" i="3" s="1"/>
  <c r="J21" i="3"/>
  <c r="AB21" i="3" s="1"/>
  <c r="J22" i="3"/>
  <c r="X22" i="3" s="1"/>
  <c r="J23" i="3"/>
  <c r="AB23" i="3" s="1"/>
  <c r="J24" i="3"/>
  <c r="X24" i="3" s="1"/>
  <c r="J25" i="3"/>
  <c r="AB25" i="3" s="1"/>
  <c r="J26" i="3"/>
  <c r="X26" i="3" s="1"/>
  <c r="J27" i="3"/>
  <c r="AB27" i="3" s="1"/>
  <c r="J28" i="3"/>
  <c r="X28" i="3" s="1"/>
  <c r="J29" i="3"/>
  <c r="AB29" i="3" s="1"/>
  <c r="J5" i="3"/>
  <c r="AB5" i="3" s="1"/>
  <c r="C29" i="3"/>
  <c r="T29" i="3" s="1"/>
  <c r="C28" i="3"/>
  <c r="V28" i="3" s="1"/>
  <c r="C27" i="3"/>
  <c r="T27" i="3" s="1"/>
  <c r="C26" i="3"/>
  <c r="V26" i="3" s="1"/>
  <c r="C25" i="3"/>
  <c r="T25" i="3" s="1"/>
  <c r="C24" i="3"/>
  <c r="V24" i="3" s="1"/>
  <c r="C23" i="3"/>
  <c r="T23" i="3" s="1"/>
  <c r="C22" i="3"/>
  <c r="V22" i="3" s="1"/>
  <c r="C21" i="3"/>
  <c r="T21" i="3" s="1"/>
  <c r="C20" i="3"/>
  <c r="V20" i="3" s="1"/>
  <c r="C19" i="3"/>
  <c r="T19" i="3" s="1"/>
  <c r="C18" i="3"/>
  <c r="V18" i="3" s="1"/>
  <c r="C17" i="3"/>
  <c r="T17" i="3" s="1"/>
  <c r="C16" i="3"/>
  <c r="V16" i="3" s="1"/>
  <c r="C15" i="3"/>
  <c r="T15" i="3" s="1"/>
  <c r="C14" i="3"/>
  <c r="V14" i="3" s="1"/>
  <c r="C13" i="3"/>
  <c r="T13" i="3" s="1"/>
  <c r="C12" i="3"/>
  <c r="V12" i="3" s="1"/>
  <c r="C11" i="3"/>
  <c r="T11" i="3" s="1"/>
  <c r="C10" i="3"/>
  <c r="V10" i="3" s="1"/>
  <c r="C9" i="3"/>
  <c r="T9" i="3" s="1"/>
  <c r="C8" i="3"/>
  <c r="V8" i="3" s="1"/>
  <c r="C7" i="3"/>
  <c r="T7" i="3" s="1"/>
  <c r="C6" i="3"/>
  <c r="V6" i="3" s="1"/>
  <c r="C5" i="3"/>
  <c r="T5" i="3" s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Q24" i="3" l="1"/>
  <c r="Y12" i="3"/>
  <c r="AA20" i="3"/>
  <c r="Z12" i="3"/>
  <c r="Z10" i="3"/>
  <c r="AA12" i="3"/>
  <c r="Q16" i="3"/>
  <c r="Y18" i="3"/>
  <c r="U9" i="3"/>
  <c r="AA10" i="3"/>
  <c r="AB12" i="3"/>
  <c r="S16" i="3"/>
  <c r="AA18" i="3"/>
  <c r="R8" i="3"/>
  <c r="Q10" i="3"/>
  <c r="W11" i="3"/>
  <c r="W19" i="3"/>
  <c r="S8" i="3"/>
  <c r="R10" i="3"/>
  <c r="X11" i="3"/>
  <c r="U17" i="3"/>
  <c r="Q20" i="3"/>
  <c r="U5" i="3"/>
  <c r="T8" i="3"/>
  <c r="S10" i="3"/>
  <c r="Q12" i="3"/>
  <c r="Q14" i="3"/>
  <c r="Q18" i="3"/>
  <c r="Y20" i="3"/>
  <c r="U25" i="3"/>
  <c r="Q26" i="3"/>
  <c r="Q28" i="3"/>
  <c r="Y28" i="3"/>
  <c r="Q8" i="3"/>
  <c r="V9" i="3"/>
  <c r="AB10" i="3"/>
  <c r="U13" i="3"/>
  <c r="T16" i="3"/>
  <c r="AB18" i="3"/>
  <c r="U29" i="3"/>
  <c r="U11" i="3"/>
  <c r="V5" i="3"/>
  <c r="R6" i="3"/>
  <c r="Z6" i="3"/>
  <c r="Z8" i="3"/>
  <c r="V11" i="3"/>
  <c r="R12" i="3"/>
  <c r="V13" i="3"/>
  <c r="R14" i="3"/>
  <c r="Z14" i="3"/>
  <c r="V15" i="3"/>
  <c r="R16" i="3"/>
  <c r="Z16" i="3"/>
  <c r="V17" i="3"/>
  <c r="R18" i="3"/>
  <c r="Z18" i="3"/>
  <c r="V19" i="3"/>
  <c r="R20" i="3"/>
  <c r="Z20" i="3"/>
  <c r="V21" i="3"/>
  <c r="R22" i="3"/>
  <c r="Z22" i="3"/>
  <c r="V23" i="3"/>
  <c r="R24" i="3"/>
  <c r="Z24" i="3"/>
  <c r="V25" i="3"/>
  <c r="R26" i="3"/>
  <c r="Z26" i="3"/>
  <c r="V27" i="3"/>
  <c r="R28" i="3"/>
  <c r="Z28" i="3"/>
  <c r="V29" i="3"/>
  <c r="W5" i="3"/>
  <c r="S6" i="3"/>
  <c r="AA6" i="3"/>
  <c r="W7" i="3"/>
  <c r="W9" i="3"/>
  <c r="S12" i="3"/>
  <c r="S14" i="3"/>
  <c r="AA14" i="3"/>
  <c r="W15" i="3"/>
  <c r="AA16" i="3"/>
  <c r="W17" i="3"/>
  <c r="S20" i="3"/>
  <c r="W21" i="3"/>
  <c r="S22" i="3"/>
  <c r="AA22" i="3"/>
  <c r="W23" i="3"/>
  <c r="S24" i="3"/>
  <c r="AA24" i="3"/>
  <c r="W25" i="3"/>
  <c r="S26" i="3"/>
  <c r="AA26" i="3"/>
  <c r="W27" i="3"/>
  <c r="S28" i="3"/>
  <c r="AA28" i="3"/>
  <c r="W29" i="3"/>
  <c r="X5" i="3"/>
  <c r="T6" i="3"/>
  <c r="AB6" i="3"/>
  <c r="X7" i="3"/>
  <c r="T12" i="3"/>
  <c r="T14" i="3"/>
  <c r="AB14" i="3"/>
  <c r="X15" i="3"/>
  <c r="AB16" i="3"/>
  <c r="X17" i="3"/>
  <c r="X19" i="3"/>
  <c r="T20" i="3"/>
  <c r="AB20" i="3"/>
  <c r="X21" i="3"/>
  <c r="T22" i="3"/>
  <c r="AB22" i="3"/>
  <c r="X23" i="3"/>
  <c r="T24" i="3"/>
  <c r="AB24" i="3"/>
  <c r="X25" i="3"/>
  <c r="T26" i="3"/>
  <c r="AB26" i="3"/>
  <c r="X27" i="3"/>
  <c r="T28" i="3"/>
  <c r="AB28" i="3"/>
  <c r="X29" i="3"/>
  <c r="Q5" i="3"/>
  <c r="Y5" i="3"/>
  <c r="U6" i="3"/>
  <c r="Q7" i="3"/>
  <c r="Y7" i="3"/>
  <c r="U8" i="3"/>
  <c r="Q9" i="3"/>
  <c r="Y9" i="3"/>
  <c r="U10" i="3"/>
  <c r="Q11" i="3"/>
  <c r="Y11" i="3"/>
  <c r="U12" i="3"/>
  <c r="Q13" i="3"/>
  <c r="Y13" i="3"/>
  <c r="U14" i="3"/>
  <c r="Q15" i="3"/>
  <c r="Y15" i="3"/>
  <c r="U16" i="3"/>
  <c r="Q17" i="3"/>
  <c r="Y17" i="3"/>
  <c r="U18" i="3"/>
  <c r="Q19" i="3"/>
  <c r="Y19" i="3"/>
  <c r="U20" i="3"/>
  <c r="Q21" i="3"/>
  <c r="Y21" i="3"/>
  <c r="U22" i="3"/>
  <c r="Q23" i="3"/>
  <c r="Y23" i="3"/>
  <c r="U24" i="3"/>
  <c r="Q25" i="3"/>
  <c r="Y25" i="3"/>
  <c r="U26" i="3"/>
  <c r="Q27" i="3"/>
  <c r="Y27" i="3"/>
  <c r="U28" i="3"/>
  <c r="Q29" i="3"/>
  <c r="Y29" i="3"/>
  <c r="U27" i="3"/>
  <c r="X9" i="3"/>
  <c r="R5" i="3"/>
  <c r="Z5" i="3"/>
  <c r="R7" i="3"/>
  <c r="Z7" i="3"/>
  <c r="R9" i="3"/>
  <c r="Z9" i="3"/>
  <c r="R11" i="3"/>
  <c r="Z11" i="3"/>
  <c r="R13" i="3"/>
  <c r="Z13" i="3"/>
  <c r="R15" i="3"/>
  <c r="Z15" i="3"/>
  <c r="R17" i="3"/>
  <c r="Z17" i="3"/>
  <c r="R19" i="3"/>
  <c r="Z19" i="3"/>
  <c r="R21" i="3"/>
  <c r="Z21" i="3"/>
  <c r="R23" i="3"/>
  <c r="Z23" i="3"/>
  <c r="R25" i="3"/>
  <c r="Z25" i="3"/>
  <c r="R27" i="3"/>
  <c r="Z27" i="3"/>
  <c r="R29" i="3"/>
  <c r="Z29" i="3"/>
  <c r="U19" i="3"/>
  <c r="S5" i="3"/>
  <c r="AA5" i="3"/>
  <c r="W6" i="3"/>
  <c r="S7" i="3"/>
  <c r="AA7" i="3"/>
  <c r="W8" i="3"/>
  <c r="S9" i="3"/>
  <c r="AA9" i="3"/>
  <c r="W10" i="3"/>
  <c r="S11" i="3"/>
  <c r="AA11" i="3"/>
  <c r="W12" i="3"/>
  <c r="S13" i="3"/>
  <c r="AA13" i="3"/>
  <c r="W14" i="3"/>
  <c r="S15" i="3"/>
  <c r="AA15" i="3"/>
  <c r="W16" i="3"/>
  <c r="S17" i="3"/>
  <c r="AA17" i="3"/>
  <c r="W18" i="3"/>
  <c r="S19" i="3"/>
  <c r="AA19" i="3"/>
  <c r="W20" i="3"/>
  <c r="S21" i="3"/>
  <c r="AA21" i="3"/>
  <c r="W22" i="3"/>
  <c r="S23" i="3"/>
  <c r="AA23" i="3"/>
  <c r="W24" i="3"/>
  <c r="S25" i="3"/>
  <c r="AA25" i="3"/>
  <c r="W26" i="3"/>
  <c r="S27" i="3"/>
  <c r="AA27" i="3"/>
  <c r="W28" i="3"/>
  <c r="S29" i="3"/>
  <c r="AA29" i="3"/>
</calcChain>
</file>

<file path=xl/sharedStrings.xml><?xml version="1.0" encoding="utf-8"?>
<sst xmlns="http://schemas.openxmlformats.org/spreadsheetml/2006/main" count="604" uniqueCount="233">
  <si>
    <t>MONTH</t>
  </si>
  <si>
    <t>客户</t>
  </si>
  <si>
    <t>NO.</t>
  </si>
  <si>
    <t>媒体</t>
  </si>
  <si>
    <t>b.media_l1_name</t>
  </si>
  <si>
    <t>b.media_l2_name</t>
  </si>
  <si>
    <t>device_caid</t>
  </si>
  <si>
    <t>CAID_Count1</t>
  </si>
  <si>
    <t>CAID_Count2</t>
  </si>
  <si>
    <t>CAID_Count3+</t>
  </si>
  <si>
    <t>20230330之前_CAID</t>
  </si>
  <si>
    <t>20260506_CAID</t>
  </si>
  <si>
    <t>20250325_CAID</t>
  </si>
  <si>
    <t>20240930_CAID</t>
  </si>
  <si>
    <t>20230330_CAID</t>
  </si>
  <si>
    <t>20221030_CAID</t>
  </si>
  <si>
    <t>20221005_CAID</t>
  </si>
  <si>
    <t>20221004_CAID</t>
  </si>
  <si>
    <t>20220111_CAID</t>
  </si>
  <si>
    <t>20211207_CAID</t>
  </si>
  <si>
    <t>20201230_CAID</t>
  </si>
  <si>
    <t>20200901_CAID</t>
  </si>
  <si>
    <t>20260506_CAID优选</t>
  </si>
  <si>
    <t>20250325_CAID优选</t>
  </si>
  <si>
    <t>20240930_CAID优选</t>
  </si>
  <si>
    <t>20230330_CAID优选</t>
  </si>
  <si>
    <t>20221030_CAID优选</t>
  </si>
  <si>
    <t>20221005_CAID优选</t>
  </si>
  <si>
    <t>20221004_CAID优选</t>
  </si>
  <si>
    <t>20220111_CAID优选</t>
  </si>
  <si>
    <t>20211207_CAID优选</t>
  </si>
  <si>
    <t>20201230_CAID优选</t>
  </si>
  <si>
    <t>20200901_CAID优选</t>
  </si>
  <si>
    <t>P&amp;G</t>
  </si>
  <si>
    <t>爱奇艺</t>
  </si>
  <si>
    <t>视频服务</t>
  </si>
  <si>
    <t>在线视频</t>
  </si>
  <si>
    <t>抖音</t>
  </si>
  <si>
    <t>短视频</t>
  </si>
  <si>
    <t>腾讯视频</t>
  </si>
  <si>
    <t>优酷</t>
  </si>
  <si>
    <t>微博</t>
  </si>
  <si>
    <t>互动社交</t>
  </si>
  <si>
    <t>微博博客</t>
  </si>
  <si>
    <t>腾讯系</t>
  </si>
  <si>
    <t>其他</t>
  </si>
  <si>
    <t>百度</t>
  </si>
  <si>
    <t>应用工具</t>
  </si>
  <si>
    <t>搜索服务</t>
  </si>
  <si>
    <t>网易云音乐</t>
  </si>
  <si>
    <t>音乐综合</t>
  </si>
  <si>
    <t>在线音乐</t>
  </si>
  <si>
    <t>芒果TV</t>
  </si>
  <si>
    <t>美图秀秀</t>
  </si>
  <si>
    <t>拍摄美化</t>
  </si>
  <si>
    <t>美柚</t>
  </si>
  <si>
    <t>母婴垂媒</t>
  </si>
  <si>
    <t>孕婴/女性助手</t>
  </si>
  <si>
    <t>百度地图</t>
  </si>
  <si>
    <t>生活服务</t>
  </si>
  <si>
    <t>出行导航</t>
  </si>
  <si>
    <t>小红书</t>
  </si>
  <si>
    <t>电子商务</t>
  </si>
  <si>
    <t>购物分享</t>
  </si>
  <si>
    <t>喜马拉雅</t>
  </si>
  <si>
    <t>电台/有声阅读</t>
  </si>
  <si>
    <t>腾讯音乐娱乐</t>
  </si>
  <si>
    <t>菜鸟裹裹</t>
  </si>
  <si>
    <t>其他生活服务</t>
  </si>
  <si>
    <t>知乎</t>
  </si>
  <si>
    <t>知识百科</t>
  </si>
  <si>
    <t>七猫免费小说</t>
  </si>
  <si>
    <t>电子阅读</t>
  </si>
  <si>
    <t>在线阅读</t>
  </si>
  <si>
    <t>支付宝</t>
  </si>
  <si>
    <t>金融理财</t>
  </si>
  <si>
    <t>理财贷款</t>
  </si>
  <si>
    <t>QQ浏览器</t>
  </si>
  <si>
    <t>浏览器</t>
  </si>
  <si>
    <t>腾讯新闻</t>
  </si>
  <si>
    <t>综合资讯</t>
  </si>
  <si>
    <t>新闻资讯</t>
  </si>
  <si>
    <t>哔哩哔哩</t>
  </si>
  <si>
    <t>大盘</t>
  </si>
  <si>
    <t>字节跳动系</t>
  </si>
  <si>
    <t>铁路12306</t>
  </si>
  <si>
    <t>旅游出行</t>
  </si>
  <si>
    <t>机票/火车票/汽车票</t>
  </si>
  <si>
    <t>快手</t>
  </si>
  <si>
    <t>高德地图</t>
  </si>
  <si>
    <t>懂车帝</t>
  </si>
  <si>
    <t>汽车垂媒</t>
  </si>
  <si>
    <t>汽车资讯</t>
  </si>
  <si>
    <t>腾讯体育</t>
  </si>
  <si>
    <t>体育资讯</t>
  </si>
  <si>
    <t>有道词典</t>
  </si>
  <si>
    <t>教育文化</t>
  </si>
  <si>
    <t>学习工具</t>
  </si>
  <si>
    <t>QQ音乐</t>
  </si>
  <si>
    <t>酷狗音乐</t>
  </si>
  <si>
    <t>广点通</t>
  </si>
  <si>
    <t>行业企业</t>
  </si>
  <si>
    <t>广告联盟</t>
  </si>
  <si>
    <t>飞猪</t>
  </si>
  <si>
    <t>在线旅游</t>
  </si>
  <si>
    <t>美颜相机</t>
  </si>
  <si>
    <t>航旅纵横</t>
  </si>
  <si>
    <t>百度网盘</t>
  </si>
  <si>
    <t>邮箱网盘</t>
  </si>
  <si>
    <t>WINK</t>
  </si>
  <si>
    <t>Soul</t>
  </si>
  <si>
    <t>聊天交友</t>
  </si>
  <si>
    <t>中国银联</t>
  </si>
  <si>
    <t>银行网站</t>
  </si>
  <si>
    <t>效果通</t>
  </si>
  <si>
    <t>DSP-慎用</t>
  </si>
  <si>
    <t>虎扑</t>
  </si>
  <si>
    <t>哈啰</t>
  </si>
  <si>
    <t>品友互动</t>
  </si>
  <si>
    <t>悠易互通</t>
  </si>
  <si>
    <t>网易有道</t>
  </si>
  <si>
    <t>网易新闻</t>
  </si>
  <si>
    <t>联想DSP</t>
  </si>
  <si>
    <t>中国大学慕课</t>
  </si>
  <si>
    <t>去哪儿</t>
  </si>
  <si>
    <t>汽水音乐</t>
  </si>
  <si>
    <t>网易</t>
  </si>
  <si>
    <t>综合门户</t>
  </si>
  <si>
    <t>墨迹天气</t>
  </si>
  <si>
    <t>便捷生活工具</t>
  </si>
  <si>
    <t>新浪新闻</t>
  </si>
  <si>
    <t>KEEP</t>
  </si>
  <si>
    <t>健康医疗</t>
  </si>
  <si>
    <t>运动健身</t>
  </si>
  <si>
    <t>豆瓣</t>
  </si>
  <si>
    <t>社区分享</t>
  </si>
  <si>
    <t>剪映</t>
  </si>
  <si>
    <t>视频服务其他</t>
  </si>
  <si>
    <t>咪咕视频</t>
  </si>
  <si>
    <t>Line</t>
  </si>
  <si>
    <t>航班管家</t>
  </si>
  <si>
    <t>凤凰新闻</t>
  </si>
  <si>
    <t>有道翻译官</t>
  </si>
  <si>
    <t>新数网络</t>
  </si>
  <si>
    <t>醒图</t>
  </si>
  <si>
    <t>直播吧</t>
  </si>
  <si>
    <t>电视/网络直播</t>
  </si>
  <si>
    <t>下厨房</t>
  </si>
  <si>
    <t>餐饮美食</t>
  </si>
  <si>
    <t>UC浏览器</t>
  </si>
  <si>
    <t>乐乎</t>
  </si>
  <si>
    <t>懂球帝</t>
  </si>
  <si>
    <t>腾讯文档</t>
  </si>
  <si>
    <t>效率办公</t>
  </si>
  <si>
    <t>wifi万能钥匙</t>
  </si>
  <si>
    <t>全民K歌</t>
  </si>
  <si>
    <t>网络K歌</t>
  </si>
  <si>
    <t>虎牙直播</t>
  </si>
  <si>
    <t>游戏服务</t>
  </si>
  <si>
    <t>其他游戏服务</t>
  </si>
  <si>
    <t>桔柚</t>
  </si>
  <si>
    <t>QQ</t>
  </si>
  <si>
    <t>搜狐视频</t>
  </si>
  <si>
    <t>全域通APP</t>
  </si>
  <si>
    <t>京东商城</t>
  </si>
  <si>
    <t>综合电商</t>
  </si>
  <si>
    <t>酷我音乐</t>
  </si>
  <si>
    <t>百度贴吧</t>
  </si>
  <si>
    <t>Xaxis</t>
  </si>
  <si>
    <t>阿里系</t>
  </si>
  <si>
    <t>泛为科技</t>
  </si>
  <si>
    <t>水印相机</t>
  </si>
  <si>
    <t>科大讯飞</t>
  </si>
  <si>
    <t>企业官网</t>
  </si>
  <si>
    <t>CEL</t>
  </si>
  <si>
    <t>QQ阅读</t>
  </si>
  <si>
    <t>新浪网</t>
  </si>
  <si>
    <t>企鹅电竞</t>
  </si>
  <si>
    <t>腾讯会议</t>
  </si>
  <si>
    <t>其他企业服务</t>
  </si>
  <si>
    <t>懂车帝效果联盟</t>
  </si>
  <si>
    <t>韩小圈</t>
  </si>
  <si>
    <t>Merkury</t>
  </si>
  <si>
    <t>财新网</t>
  </si>
  <si>
    <t>财经资讯</t>
  </si>
  <si>
    <t>今日头条</t>
  </si>
  <si>
    <t>美团网</t>
  </si>
  <si>
    <t>团购网站</t>
  </si>
  <si>
    <t>微信</t>
  </si>
  <si>
    <t>20250111_CAID优选</t>
    <phoneticPr fontId="1" type="noConversion"/>
  </si>
  <si>
    <t>20250111_CAID</t>
    <phoneticPr fontId="1" type="noConversion"/>
  </si>
  <si>
    <t>MEDIA</t>
  </si>
  <si>
    <t>MEDIA</t>
    <phoneticPr fontId="1" type="noConversion"/>
  </si>
  <si>
    <t>WECHAT</t>
  </si>
  <si>
    <t>(空白)</t>
  </si>
  <si>
    <t>总计</t>
  </si>
  <si>
    <t>求和项:CAID_Count1</t>
  </si>
  <si>
    <t>求和项:CAID_Count2</t>
  </si>
  <si>
    <t>求和项:CAID_Count3+</t>
  </si>
  <si>
    <t>IQIYI</t>
  </si>
  <si>
    <t>DOUYIN</t>
  </si>
  <si>
    <t>TENCENT VIDEO</t>
  </si>
  <si>
    <t>YOUKU</t>
  </si>
  <si>
    <t>SINA WEIBO</t>
  </si>
  <si>
    <t>TENCENT</t>
  </si>
  <si>
    <t>BAIDU</t>
  </si>
  <si>
    <t>HUNANTV</t>
  </si>
  <si>
    <t>MEITU</t>
  </si>
  <si>
    <t>MEIYOU</t>
  </si>
  <si>
    <t>BAIDU MAP</t>
  </si>
  <si>
    <t>LRB</t>
  </si>
  <si>
    <t>XIMALAYA</t>
  </si>
  <si>
    <t>CAINIAO</t>
  </si>
  <si>
    <t>ZHIHU</t>
  </si>
  <si>
    <t>QIMAO</t>
  </si>
  <si>
    <t>ALIPAY</t>
  </si>
  <si>
    <t>QQ BROWSER</t>
  </si>
  <si>
    <t>BILIBILI</t>
  </si>
  <si>
    <t>值</t>
  </si>
  <si>
    <t>求和项:20260506_CAID优选</t>
  </si>
  <si>
    <t>求和项:20250325_CAID优选</t>
  </si>
  <si>
    <t>20250325之前_CAID优选</t>
  </si>
  <si>
    <t>20250325之前_CAID优选</t>
    <phoneticPr fontId="1" type="noConversion"/>
  </si>
  <si>
    <t>求和项:20250325之前_CAID优选</t>
  </si>
  <si>
    <t>其他</t>
    <phoneticPr fontId="1" type="noConversion"/>
  </si>
  <si>
    <t>(全部)</t>
  </si>
  <si>
    <t>total</t>
    <phoneticPr fontId="1" type="noConversion"/>
  </si>
  <si>
    <t>CAID ALL</t>
    <phoneticPr fontId="1" type="noConversion"/>
  </si>
  <si>
    <t>20260506_CAID优选</t>
    <phoneticPr fontId="1" type="noConversion"/>
  </si>
  <si>
    <t>NETEASE MUSIC</t>
    <phoneticPr fontId="1" type="noConversion"/>
  </si>
  <si>
    <t>Tencent Music Group</t>
    <phoneticPr fontId="1" type="noConversion"/>
  </si>
  <si>
    <t>TENCENT NEWS</t>
    <phoneticPr fontId="1" type="noConversion"/>
  </si>
  <si>
    <t>CAID_Count2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</si>
</sst>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pivotButton="1"/>
    <xf numFmtId="0" fontId="5" fillId="4" borderId="0" xfId="0" applyFont="1" applyFill="1"/>
    <xf numFmtId="0" fontId="5" fillId="0" borderId="1" xfId="0" applyFont="1" applyBorder="1"/>
    <xf numFmtId="176" fontId="0" fillId="0" borderId="0" xfId="0" applyNumberFormat="1"/>
    <xf numFmtId="176" fontId="0" fillId="0" borderId="0" xfId="1" applyNumberFormat="1" applyFont="1" applyAlignment="1"/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9" fontId="0" fillId="0" borderId="0" xfId="2" applyFont="1" applyAlignment="1"/>
    <xf numFmtId="0" fontId="5" fillId="4" borderId="0" xfId="0" applyFont="1" applyFill="1" applyAlignment="1">
      <alignment horizontal="center"/>
    </xf>
  </cellXfs>
  <cellStyles count="3">
    <cellStyle name="百分比" xfId="2" builtinId="5"/>
    <cellStyle name="常规" xfId="0" builtinId="0"/>
    <cellStyle name="千位分隔" xfId="1" builtinId="3"/>
  </cellStyles>
  <dxfs count="1">
    <dxf>
      <numFmt numFmtId="176" formatCode="_ * #,##0_ ;_ * \-#,##0_ ;_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&amp;G/38_&#34892;&#19994;DID&#32479;&#35745;/DEVICE%20ID&#24180;&#24230;&#20998;&#26512;/202501-202512/&#26144;&#23556;&#34920;/&#23186;&#20307;&#23545;&#24212;LIST_&#26356;&#26032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B3" t="str">
            <v>360安全中心</v>
          </cell>
          <cell r="C3" t="str">
            <v>360安全中心</v>
          </cell>
        </row>
        <row r="4">
          <cell r="B4" t="str">
            <v>360清理大师</v>
          </cell>
          <cell r="C4" t="str">
            <v>360清理大师</v>
          </cell>
        </row>
        <row r="5">
          <cell r="B5" t="str">
            <v>360搜索</v>
          </cell>
          <cell r="C5" t="str">
            <v>360搜索</v>
          </cell>
        </row>
        <row r="6">
          <cell r="B6" t="str">
            <v>58同城网</v>
          </cell>
          <cell r="C6" t="str">
            <v>58同城网</v>
          </cell>
        </row>
        <row r="7">
          <cell r="B7" t="str">
            <v>AOD</v>
          </cell>
          <cell r="C7" t="str">
            <v>AOD</v>
          </cell>
        </row>
        <row r="8">
          <cell r="B8" t="str">
            <v>B612咔叽</v>
          </cell>
          <cell r="C8" t="str">
            <v>B612</v>
          </cell>
        </row>
        <row r="9">
          <cell r="B9" t="str">
            <v>BiddingX</v>
          </cell>
          <cell r="C9" t="str">
            <v>BiddingX</v>
          </cell>
        </row>
        <row r="10">
          <cell r="B10" t="str">
            <v>DSP</v>
          </cell>
          <cell r="C10" t="str">
            <v>DSP</v>
          </cell>
        </row>
        <row r="11">
          <cell r="B11" t="str">
            <v>fit健身头条</v>
          </cell>
          <cell r="C11" t="str">
            <v>fit健身头条</v>
          </cell>
        </row>
        <row r="12">
          <cell r="B12" t="str">
            <v>Foodie</v>
          </cell>
          <cell r="C12" t="str">
            <v>Foodie</v>
          </cell>
        </row>
        <row r="13">
          <cell r="B13" t="str">
            <v>Google</v>
          </cell>
          <cell r="C13" t="str">
            <v>Google</v>
          </cell>
        </row>
        <row r="14">
          <cell r="B14" t="str">
            <v>GQ男性网</v>
          </cell>
          <cell r="C14" t="str">
            <v>GQ男性网</v>
          </cell>
        </row>
        <row r="15">
          <cell r="B15" t="str">
            <v>HeyTap欢太</v>
          </cell>
          <cell r="C15" t="str">
            <v>HeyTap欢太</v>
          </cell>
        </row>
        <row r="16">
          <cell r="B16" t="str">
            <v>InMobi</v>
          </cell>
          <cell r="C16" t="str">
            <v>InMobi</v>
          </cell>
        </row>
        <row r="17">
          <cell r="B17" t="str">
            <v>KEEP</v>
          </cell>
          <cell r="C17" t="str">
            <v>KEEP</v>
          </cell>
        </row>
        <row r="18">
          <cell r="B18" t="str">
            <v>MadHouse自媒体</v>
          </cell>
          <cell r="C18" t="str">
            <v>MadHouse自媒体</v>
          </cell>
        </row>
        <row r="19">
          <cell r="B19" t="str">
            <v>Onlylady</v>
          </cell>
          <cell r="C19" t="str">
            <v>Onlylady</v>
          </cell>
        </row>
        <row r="20">
          <cell r="B20" t="str">
            <v>OPPO</v>
          </cell>
          <cell r="C20" t="str">
            <v>OPPO</v>
          </cell>
        </row>
        <row r="21">
          <cell r="B21" t="str">
            <v>OPPO浏览器</v>
          </cell>
          <cell r="C21" t="str">
            <v>OPPO</v>
          </cell>
        </row>
        <row r="22">
          <cell r="B22" t="str">
            <v>OPPO锁屏</v>
          </cell>
          <cell r="C22" t="str">
            <v>OPPO</v>
          </cell>
        </row>
        <row r="23">
          <cell r="B23" t="str">
            <v>OPPO应用打包</v>
          </cell>
          <cell r="C23" t="str">
            <v>OPPO</v>
          </cell>
        </row>
        <row r="24">
          <cell r="B24" t="str">
            <v>PP视频</v>
          </cell>
          <cell r="C24" t="str">
            <v>PP视频</v>
          </cell>
        </row>
        <row r="25">
          <cell r="B25" t="str">
            <v>pp体育</v>
          </cell>
          <cell r="C25" t="str">
            <v>PP Sports</v>
          </cell>
        </row>
        <row r="26">
          <cell r="B26" t="str">
            <v>QQ</v>
          </cell>
          <cell r="C26" t="str">
            <v>Tencent QQ</v>
          </cell>
        </row>
        <row r="27">
          <cell r="B27" t="str">
            <v>QQ浏览器</v>
          </cell>
          <cell r="C27" t="str">
            <v>QQ BROWSER</v>
          </cell>
        </row>
        <row r="28">
          <cell r="B28" t="str">
            <v>QQ音乐</v>
          </cell>
          <cell r="C28" t="str">
            <v>QQ MUSIC</v>
          </cell>
        </row>
        <row r="29">
          <cell r="B29" t="str">
            <v>Soul</v>
          </cell>
          <cell r="C29" t="str">
            <v>SOUL</v>
          </cell>
        </row>
        <row r="30">
          <cell r="B30" t="str">
            <v>UC浏览器</v>
          </cell>
          <cell r="C30" t="str">
            <v>UC BROWSER</v>
          </cell>
        </row>
        <row r="31">
          <cell r="B31" t="str">
            <v>VIVO官网</v>
          </cell>
          <cell r="C31" t="str">
            <v>VIVO</v>
          </cell>
        </row>
        <row r="32">
          <cell r="B32" t="str">
            <v>Vivo浏览器</v>
          </cell>
          <cell r="C32" t="str">
            <v>VIVO</v>
          </cell>
        </row>
        <row r="33">
          <cell r="B33" t="str">
            <v>vivo浏览器</v>
          </cell>
          <cell r="C33" t="str">
            <v>VIVO</v>
          </cell>
        </row>
        <row r="34">
          <cell r="B34" t="str">
            <v>VIVO锁屏</v>
          </cell>
          <cell r="C34" t="str">
            <v>VIVO</v>
          </cell>
        </row>
        <row r="35">
          <cell r="B35" t="str">
            <v>VIVO应用打包</v>
          </cell>
          <cell r="C35" t="str">
            <v>VIVO</v>
          </cell>
        </row>
        <row r="36">
          <cell r="B36" t="str">
            <v>vpon</v>
          </cell>
          <cell r="C36" t="str">
            <v>vpon</v>
          </cell>
        </row>
        <row r="37">
          <cell r="B37" t="str">
            <v>wifi万能钥匙</v>
          </cell>
          <cell r="C37" t="str">
            <v>wifi万能钥匙</v>
          </cell>
        </row>
        <row r="38">
          <cell r="B38" t="str">
            <v>WPS</v>
          </cell>
          <cell r="C38" t="str">
            <v>WPS</v>
          </cell>
        </row>
        <row r="39">
          <cell r="B39" t="str">
            <v>xad</v>
          </cell>
          <cell r="C39" t="str">
            <v>xAd</v>
          </cell>
        </row>
        <row r="40">
          <cell r="B40" t="str">
            <v>Yoka时尚网</v>
          </cell>
          <cell r="C40" t="str">
            <v>YOKA</v>
          </cell>
        </row>
        <row r="41">
          <cell r="B41" t="str">
            <v>阿里妈妈</v>
          </cell>
          <cell r="C41" t="str">
            <v>阿里妈妈</v>
          </cell>
        </row>
        <row r="42">
          <cell r="B42" t="str">
            <v>阿里系</v>
          </cell>
          <cell r="C42" t="str">
            <v>ALI</v>
          </cell>
        </row>
        <row r="43">
          <cell r="B43" t="str">
            <v>爱奇艺</v>
          </cell>
          <cell r="C43" t="str">
            <v>IQIYI</v>
          </cell>
        </row>
        <row r="44">
          <cell r="B44" t="str">
            <v>爱奇艺+PPS</v>
          </cell>
          <cell r="C44" t="str">
            <v>IQIYI</v>
          </cell>
        </row>
        <row r="45">
          <cell r="B45" t="str">
            <v>安沃</v>
          </cell>
          <cell r="C45" t="str">
            <v>ADWO</v>
          </cell>
        </row>
        <row r="46">
          <cell r="B46" t="str">
            <v>傲祺</v>
          </cell>
          <cell r="C46" t="str">
            <v>傲祺</v>
          </cell>
        </row>
        <row r="47">
          <cell r="B47" t="str">
            <v>百度</v>
          </cell>
          <cell r="C47" t="str">
            <v>BAIDU</v>
          </cell>
        </row>
        <row r="48">
          <cell r="B48" t="str">
            <v>百度地图</v>
          </cell>
          <cell r="C48" t="str">
            <v>BAIDU MAP</v>
          </cell>
        </row>
        <row r="49">
          <cell r="B49" t="str">
            <v>百度视频</v>
          </cell>
          <cell r="C49" t="str">
            <v>BAIDU VIDEO</v>
          </cell>
        </row>
        <row r="50">
          <cell r="B50" t="str">
            <v>百度输入法</v>
          </cell>
          <cell r="C50" t="str">
            <v>百度输入法</v>
          </cell>
        </row>
        <row r="51">
          <cell r="B51" t="str">
            <v>百度网盘</v>
          </cell>
          <cell r="C51" t="str">
            <v>百度网盘</v>
          </cell>
        </row>
        <row r="52">
          <cell r="B52" t="str">
            <v>百搜视频</v>
          </cell>
          <cell r="C52" t="str">
            <v>BAIDU VIDEO</v>
          </cell>
        </row>
        <row r="53">
          <cell r="B53" t="str">
            <v>宝宝树</v>
          </cell>
          <cell r="C53" t="str">
            <v>BABY TREE</v>
          </cell>
        </row>
        <row r="54">
          <cell r="B54" t="str">
            <v>贝联科技</v>
          </cell>
          <cell r="C54" t="str">
            <v>贝联科技</v>
          </cell>
        </row>
        <row r="55">
          <cell r="B55" t="str">
            <v>哔哩哔哩</v>
          </cell>
          <cell r="C55" t="str">
            <v>BILIBILI</v>
          </cell>
        </row>
        <row r="56">
          <cell r="B56" t="str">
            <v>菜鸟裹裹</v>
          </cell>
          <cell r="C56" t="str">
            <v>CAINIAO</v>
          </cell>
        </row>
        <row r="57">
          <cell r="B57" t="str">
            <v>测试</v>
          </cell>
          <cell r="C57" t="str">
            <v>测试</v>
          </cell>
        </row>
        <row r="58">
          <cell r="B58" t="str">
            <v>唱吧</v>
          </cell>
          <cell r="C58" t="str">
            <v>CHANGBA</v>
          </cell>
        </row>
        <row r="59">
          <cell r="B59" t="str">
            <v>车效通</v>
          </cell>
          <cell r="C59" t="str">
            <v>车效通</v>
          </cell>
        </row>
        <row r="60">
          <cell r="B60" t="str">
            <v>当当网</v>
          </cell>
          <cell r="C60" t="str">
            <v>当当网</v>
          </cell>
        </row>
        <row r="61">
          <cell r="B61" t="str">
            <v>滴滴出行</v>
          </cell>
          <cell r="C61" t="str">
            <v>DIDI</v>
          </cell>
        </row>
        <row r="62">
          <cell r="B62" t="str">
            <v>抖音</v>
          </cell>
          <cell r="C62" t="str">
            <v>DOUYIN</v>
          </cell>
        </row>
        <row r="63">
          <cell r="B63" t="str">
            <v>抖音火山版</v>
          </cell>
          <cell r="C63" t="str">
            <v>HUOSHAN</v>
          </cell>
        </row>
        <row r="64">
          <cell r="B64" t="str">
            <v>堆糖</v>
          </cell>
          <cell r="C64" t="str">
            <v>堆糖</v>
          </cell>
        </row>
        <row r="65">
          <cell r="B65" t="str">
            <v>番茄小说</v>
          </cell>
          <cell r="C65" t="str">
            <v>FANQIE</v>
          </cell>
        </row>
        <row r="66">
          <cell r="B66" t="str">
            <v>返利网</v>
          </cell>
          <cell r="C66" t="str">
            <v>FANLI</v>
          </cell>
        </row>
        <row r="67">
          <cell r="B67" t="str">
            <v>泛为科技</v>
          </cell>
          <cell r="C67" t="str">
            <v>泛为科技</v>
          </cell>
        </row>
        <row r="68">
          <cell r="B68" t="str">
            <v>风尚</v>
          </cell>
          <cell r="C68" t="str">
            <v>风尚</v>
          </cell>
        </row>
        <row r="69">
          <cell r="B69" t="str">
            <v>风行视频</v>
          </cell>
          <cell r="C69" t="str">
            <v>FUNSHION</v>
          </cell>
        </row>
        <row r="70">
          <cell r="B70" t="str">
            <v>风行网</v>
          </cell>
          <cell r="C70" t="str">
            <v>FUNSHION</v>
          </cell>
        </row>
        <row r="71">
          <cell r="B71" t="str">
            <v>凤凰视频</v>
          </cell>
          <cell r="C71" t="str">
            <v>凤凰视频</v>
          </cell>
        </row>
        <row r="72">
          <cell r="B72" t="str">
            <v>凤凰网</v>
          </cell>
          <cell r="C72" t="str">
            <v>凤凰网</v>
          </cell>
        </row>
        <row r="73">
          <cell r="B73" t="str">
            <v>高德地图</v>
          </cell>
          <cell r="C73" t="str">
            <v>Amap</v>
          </cell>
        </row>
        <row r="74">
          <cell r="B74" t="str">
            <v>广州妈妈网</v>
          </cell>
          <cell r="C74" t="str">
            <v>MAMA</v>
          </cell>
        </row>
        <row r="75">
          <cell r="B75" t="str">
            <v>韩剧TV</v>
          </cell>
          <cell r="C75" t="str">
            <v>韩剧TV</v>
          </cell>
        </row>
        <row r="76">
          <cell r="B76" t="str">
            <v>好看视频</v>
          </cell>
          <cell r="C76" t="str">
            <v>好看视频</v>
          </cell>
        </row>
        <row r="77">
          <cell r="B77" t="str">
            <v>红果短剧</v>
          </cell>
          <cell r="C77" t="str">
            <v>HONGGUO</v>
          </cell>
        </row>
        <row r="78">
          <cell r="B78" t="str">
            <v>虎扑</v>
          </cell>
          <cell r="C78" t="str">
            <v>HUPU</v>
          </cell>
        </row>
        <row r="79">
          <cell r="B79" t="str">
            <v>华为视频</v>
          </cell>
          <cell r="C79" t="str">
            <v>HUAWEI VIDEO</v>
          </cell>
        </row>
        <row r="80">
          <cell r="B80" t="str">
            <v>华为应用打包</v>
          </cell>
          <cell r="C80" t="str">
            <v>HUAWEI</v>
          </cell>
        </row>
        <row r="81">
          <cell r="B81" t="str">
            <v>极光</v>
          </cell>
          <cell r="C81" t="str">
            <v>极光</v>
          </cell>
        </row>
        <row r="82">
          <cell r="B82" t="str">
            <v>极速网</v>
          </cell>
          <cell r="C82" t="str">
            <v>极速网</v>
          </cell>
        </row>
        <row r="83">
          <cell r="B83" t="str">
            <v>剪映</v>
          </cell>
          <cell r="C83" t="str">
            <v>JIANYING</v>
          </cell>
        </row>
        <row r="84">
          <cell r="B84" t="str">
            <v>杰西卡的秘密</v>
          </cell>
          <cell r="C84" t="str">
            <v>JESSICA'S SECRET</v>
          </cell>
        </row>
        <row r="85">
          <cell r="B85" t="str">
            <v>今日头条</v>
          </cell>
          <cell r="C85" t="str">
            <v>TOUTIAO</v>
          </cell>
        </row>
        <row r="86">
          <cell r="B86" t="str">
            <v>看点快报</v>
          </cell>
          <cell r="C86" t="str">
            <v>KUAIBAO</v>
          </cell>
        </row>
        <row r="87">
          <cell r="B87" t="str">
            <v>酷狗音乐</v>
          </cell>
          <cell r="C87" t="str">
            <v>KUGOU</v>
          </cell>
        </row>
        <row r="88">
          <cell r="B88" t="str">
            <v>酷我音乐</v>
          </cell>
          <cell r="C88" t="str">
            <v>KUWO</v>
          </cell>
        </row>
        <row r="89">
          <cell r="B89" t="str">
            <v>快车</v>
          </cell>
          <cell r="C89" t="str">
            <v>快车</v>
          </cell>
        </row>
        <row r="90">
          <cell r="B90" t="str">
            <v>快看漫画</v>
          </cell>
          <cell r="C90" t="str">
            <v>快看漫画</v>
          </cell>
        </row>
        <row r="91">
          <cell r="B91" t="str">
            <v>快手</v>
          </cell>
          <cell r="C91" t="str">
            <v>KUAISHOU</v>
          </cell>
        </row>
        <row r="92">
          <cell r="B92" t="str">
            <v>快手极速版</v>
          </cell>
          <cell r="C92" t="str">
            <v>KUAISHOU LE</v>
          </cell>
        </row>
        <row r="93">
          <cell r="B93" t="str">
            <v>乐播</v>
          </cell>
          <cell r="C93" t="str">
            <v>LEBO</v>
          </cell>
        </row>
        <row r="94">
          <cell r="B94" t="str">
            <v>乐播投屏</v>
          </cell>
          <cell r="C94" t="str">
            <v>LEBO</v>
          </cell>
        </row>
        <row r="95">
          <cell r="B95" t="str">
            <v>乐视超级电视</v>
          </cell>
          <cell r="C95" t="str">
            <v>乐视超级电视</v>
          </cell>
        </row>
        <row r="96">
          <cell r="B96" t="str">
            <v>乐视视频</v>
          </cell>
          <cell r="C96" t="str">
            <v>LETV</v>
          </cell>
        </row>
        <row r="97">
          <cell r="B97" t="str">
            <v>乐视网</v>
          </cell>
          <cell r="C97" t="str">
            <v>LETV</v>
          </cell>
        </row>
        <row r="98">
          <cell r="B98" t="str">
            <v>妈妈帮</v>
          </cell>
          <cell r="C98" t="str">
            <v>Mamabang</v>
          </cell>
        </row>
        <row r="99">
          <cell r="B99" t="str">
            <v>妈妈网</v>
          </cell>
          <cell r="C99" t="str">
            <v>MAMA</v>
          </cell>
        </row>
        <row r="100">
          <cell r="B100" t="str">
            <v>马蜂窝</v>
          </cell>
          <cell r="C100" t="str">
            <v>MFW</v>
          </cell>
        </row>
        <row r="101">
          <cell r="B101" t="str">
            <v>芒果TV</v>
          </cell>
          <cell r="C101" t="str">
            <v>HUNANTV</v>
          </cell>
        </row>
        <row r="102">
          <cell r="B102" t="str">
            <v>美囤妈妈</v>
          </cell>
          <cell r="C102" t="str">
            <v>MEITUN</v>
          </cell>
        </row>
        <row r="103">
          <cell r="B103" t="str">
            <v>美拍</v>
          </cell>
          <cell r="C103" t="str">
            <v>MEIPAI</v>
          </cell>
        </row>
        <row r="104">
          <cell r="B104" t="str">
            <v>美图秀秀</v>
          </cell>
          <cell r="C104" t="str">
            <v>MEITU</v>
          </cell>
        </row>
        <row r="105">
          <cell r="B105" t="str">
            <v>美颜相机</v>
          </cell>
          <cell r="C105" t="str">
            <v>MEIYAN</v>
          </cell>
        </row>
        <row r="106">
          <cell r="B106" t="str">
            <v>美柚</v>
          </cell>
          <cell r="C106" t="str">
            <v>MEIYOU</v>
          </cell>
        </row>
        <row r="107">
          <cell r="B107" t="str">
            <v>秒拍</v>
          </cell>
          <cell r="C107" t="str">
            <v>MIAOPAI</v>
          </cell>
        </row>
        <row r="108">
          <cell r="B108" t="str">
            <v>陌陌</v>
          </cell>
          <cell r="C108" t="str">
            <v>MOMO</v>
          </cell>
        </row>
        <row r="109">
          <cell r="B109" t="str">
            <v>墨迹天气</v>
          </cell>
          <cell r="C109" t="str">
            <v>MOJI</v>
          </cell>
        </row>
        <row r="110">
          <cell r="B110" t="str">
            <v>七猫免费小说</v>
          </cell>
          <cell r="C110" t="str">
            <v>QIMAO</v>
          </cell>
        </row>
        <row r="111">
          <cell r="B111" t="str">
            <v>其他</v>
          </cell>
          <cell r="C111" t="str">
            <v>其他</v>
          </cell>
        </row>
        <row r="112">
          <cell r="B112" t="str">
            <v>奇异果TV</v>
          </cell>
          <cell r="C112" t="str">
            <v>奇异果TV</v>
          </cell>
        </row>
        <row r="113">
          <cell r="B113" t="str">
            <v>亲宝宝</v>
          </cell>
          <cell r="C113" t="str">
            <v>QINBAOBAO</v>
          </cell>
        </row>
        <row r="114">
          <cell r="B114" t="str">
            <v>轻颜相机</v>
          </cell>
          <cell r="C114" t="str">
            <v>轻颜相机</v>
          </cell>
        </row>
        <row r="115">
          <cell r="B115" t="str">
            <v>蜻蜓FM</v>
          </cell>
          <cell r="C115" t="str">
            <v>蜻蜓FM</v>
          </cell>
        </row>
        <row r="116">
          <cell r="B116" t="str">
            <v>去哪儿</v>
          </cell>
          <cell r="C116" t="str">
            <v>QUNAR</v>
          </cell>
        </row>
        <row r="117">
          <cell r="B117" t="str">
            <v>趣头条</v>
          </cell>
          <cell r="C117" t="str">
            <v>QUTOUTIAO</v>
          </cell>
        </row>
        <row r="118">
          <cell r="B118" t="str">
            <v>全民K歌</v>
          </cell>
          <cell r="C118" t="str">
            <v>WESING</v>
          </cell>
        </row>
        <row r="119">
          <cell r="B119" t="str">
            <v>全域通</v>
          </cell>
          <cell r="C119" t="str">
            <v>全域通</v>
          </cell>
        </row>
        <row r="120">
          <cell r="B120" t="str">
            <v>人人视频</v>
          </cell>
          <cell r="C120" t="str">
            <v>人人视频</v>
          </cell>
        </row>
        <row r="121">
          <cell r="B121" t="str">
            <v>瑞丽女性网</v>
          </cell>
          <cell r="C121" t="str">
            <v>RAYLI</v>
          </cell>
        </row>
        <row r="122">
          <cell r="B122" t="str">
            <v>什么值得买</v>
          </cell>
          <cell r="C122" t="str">
            <v>SMZDM</v>
          </cell>
        </row>
        <row r="123">
          <cell r="B123" t="str">
            <v>搜狗</v>
          </cell>
          <cell r="C123" t="str">
            <v>SOGOU</v>
          </cell>
        </row>
        <row r="124">
          <cell r="B124" t="str">
            <v>搜狗输入法</v>
          </cell>
          <cell r="C124" t="str">
            <v>搜狗输入法</v>
          </cell>
        </row>
        <row r="125">
          <cell r="B125" t="str">
            <v>搜狐</v>
          </cell>
          <cell r="C125" t="str">
            <v>SOHU</v>
          </cell>
        </row>
        <row r="126">
          <cell r="B126" t="str">
            <v>搜狐视频</v>
          </cell>
          <cell r="C126" t="str">
            <v>SOHUHD</v>
          </cell>
        </row>
        <row r="127">
          <cell r="B127" t="str">
            <v>苏宁易购</v>
          </cell>
          <cell r="C127" t="str">
            <v>SUNING</v>
          </cell>
        </row>
        <row r="128">
          <cell r="B128" t="str">
            <v>太平洋女性网</v>
          </cell>
          <cell r="C128" t="str">
            <v>PCLADY</v>
          </cell>
        </row>
        <row r="129">
          <cell r="B129" t="str">
            <v>太平洋汽车网</v>
          </cell>
          <cell r="C129" t="str">
            <v>太平洋汽车网</v>
          </cell>
        </row>
        <row r="130">
          <cell r="B130" t="str">
            <v>太平洋亲子网</v>
          </cell>
          <cell r="C130" t="str">
            <v>PCBABY</v>
          </cell>
        </row>
        <row r="131">
          <cell r="B131" t="str">
            <v>太平洋时尚网</v>
          </cell>
          <cell r="C131" t="str">
            <v>太平洋时尚网</v>
          </cell>
        </row>
        <row r="132">
          <cell r="B132" t="str">
            <v>糖豆网</v>
          </cell>
          <cell r="C132" t="str">
            <v>糖豆网</v>
          </cell>
        </row>
        <row r="133">
          <cell r="B133" t="str">
            <v>腾讯社交广告</v>
          </cell>
          <cell r="C133" t="str">
            <v>腾讯社交广告</v>
          </cell>
        </row>
        <row r="134">
          <cell r="B134" t="str">
            <v>腾讯视频</v>
          </cell>
          <cell r="C134" t="str">
            <v>TENCENT VIDEO</v>
          </cell>
        </row>
        <row r="135">
          <cell r="B135" t="str">
            <v>腾讯微视</v>
          </cell>
          <cell r="C135" t="str">
            <v>腾讯微视</v>
          </cell>
        </row>
        <row r="136">
          <cell r="B136" t="str">
            <v>腾讯系</v>
          </cell>
          <cell r="C136" t="str">
            <v>TENCENT</v>
          </cell>
        </row>
        <row r="137">
          <cell r="B137" t="str">
            <v>腾讯新闻</v>
          </cell>
          <cell r="C137" t="str">
            <v>TENCENT NEWS</v>
          </cell>
        </row>
        <row r="138">
          <cell r="B138" t="str">
            <v>腾讯音乐娱乐</v>
          </cell>
          <cell r="C138" t="str">
            <v>Tencent Music Group</v>
          </cell>
        </row>
        <row r="139">
          <cell r="B139" t="str">
            <v>天猫</v>
          </cell>
          <cell r="C139" t="str">
            <v>TMALL</v>
          </cell>
        </row>
        <row r="140">
          <cell r="B140" t="str">
            <v>同程旅行</v>
          </cell>
          <cell r="C140" t="str">
            <v>TONGCHENG</v>
          </cell>
        </row>
        <row r="141">
          <cell r="B141" t="str">
            <v>同程旅游</v>
          </cell>
          <cell r="C141" t="str">
            <v>TONGCHENG</v>
          </cell>
        </row>
        <row r="142">
          <cell r="B142" t="str">
            <v>网易</v>
          </cell>
          <cell r="C142" t="str">
            <v>NETEASE</v>
          </cell>
        </row>
        <row r="143">
          <cell r="B143" t="str">
            <v>网易新闻</v>
          </cell>
          <cell r="C143" t="str">
            <v>NETEASE NEWS</v>
          </cell>
        </row>
        <row r="144">
          <cell r="B144" t="str">
            <v>网易有道</v>
          </cell>
          <cell r="C144" t="str">
            <v>YOUDAO</v>
          </cell>
        </row>
        <row r="145">
          <cell r="B145" t="str">
            <v>网易云音乐</v>
          </cell>
          <cell r="C145" t="str">
            <v>NETEASE MUSIC</v>
          </cell>
        </row>
        <row r="146">
          <cell r="B146" t="str">
            <v>微博</v>
          </cell>
          <cell r="C146" t="str">
            <v>SINA WEIBO</v>
          </cell>
        </row>
        <row r="147">
          <cell r="B147" t="str">
            <v>唯品会</v>
          </cell>
          <cell r="C147" t="str">
            <v>VIP</v>
          </cell>
        </row>
        <row r="148">
          <cell r="B148" t="str">
            <v>西瓜视频</v>
          </cell>
          <cell r="C148" t="str">
            <v>XIGUA</v>
          </cell>
        </row>
        <row r="149">
          <cell r="B149" t="str">
            <v>喜马拉雅</v>
          </cell>
          <cell r="C149" t="str">
            <v>XIMALAYA</v>
          </cell>
        </row>
        <row r="150">
          <cell r="B150" t="str">
            <v>下厨房</v>
          </cell>
          <cell r="C150" t="str">
            <v>下厨房</v>
          </cell>
        </row>
        <row r="151">
          <cell r="B151" t="str">
            <v>小红书</v>
          </cell>
          <cell r="C151" t="str">
            <v>LRB</v>
          </cell>
        </row>
        <row r="152">
          <cell r="B152" t="str">
            <v>小米官网</v>
          </cell>
          <cell r="C152" t="str">
            <v>XIAOMI</v>
          </cell>
        </row>
        <row r="153">
          <cell r="B153" t="str">
            <v>小米视频</v>
          </cell>
          <cell r="C153" t="str">
            <v>XIAOMI</v>
          </cell>
        </row>
        <row r="154">
          <cell r="B154" t="str">
            <v>效果通</v>
          </cell>
          <cell r="C154" t="str">
            <v>效果通</v>
          </cell>
        </row>
        <row r="155">
          <cell r="B155" t="str">
            <v>携程</v>
          </cell>
          <cell r="C155" t="str">
            <v>Ctrip</v>
          </cell>
        </row>
        <row r="156">
          <cell r="B156" t="str">
            <v>新浪网</v>
          </cell>
          <cell r="C156" t="str">
            <v>SINA</v>
          </cell>
        </row>
        <row r="157">
          <cell r="B157" t="str">
            <v>新浪微博</v>
          </cell>
          <cell r="C157" t="str">
            <v>SINA WEIBO</v>
          </cell>
        </row>
        <row r="158">
          <cell r="B158" t="str">
            <v>新氧</v>
          </cell>
          <cell r="C158" t="str">
            <v>新氧</v>
          </cell>
        </row>
        <row r="159">
          <cell r="B159" t="str">
            <v>醒图</v>
          </cell>
          <cell r="C159" t="str">
            <v>XINGTU</v>
          </cell>
        </row>
        <row r="160">
          <cell r="B160" t="str">
            <v>讯飞输入法</v>
          </cell>
          <cell r="C160" t="str">
            <v>讯飞输入法</v>
          </cell>
        </row>
        <row r="161">
          <cell r="B161" t="str">
            <v>一点资讯</v>
          </cell>
          <cell r="C161" t="str">
            <v>一点资讯</v>
          </cell>
        </row>
        <row r="162">
          <cell r="B162" t="str">
            <v>亿动传媒</v>
          </cell>
          <cell r="C162" t="str">
            <v>亿动传媒</v>
          </cell>
        </row>
        <row r="163">
          <cell r="B163" t="str">
            <v>易车</v>
          </cell>
          <cell r="C163" t="str">
            <v>易车</v>
          </cell>
        </row>
        <row r="164">
          <cell r="B164" t="str">
            <v>音悦台</v>
          </cell>
          <cell r="C164" t="str">
            <v>YINYUETAI</v>
          </cell>
        </row>
        <row r="165">
          <cell r="B165" t="str">
            <v>优酷</v>
          </cell>
          <cell r="C165" t="str">
            <v>YOUKU</v>
          </cell>
        </row>
        <row r="166">
          <cell r="B166" t="str">
            <v>优土</v>
          </cell>
          <cell r="C166" t="str">
            <v>YOUKU</v>
          </cell>
        </row>
        <row r="167">
          <cell r="B167" t="str">
            <v>有道</v>
          </cell>
          <cell r="C167" t="str">
            <v>YOUDAO</v>
          </cell>
        </row>
        <row r="168">
          <cell r="B168" t="str">
            <v>有道词典</v>
          </cell>
          <cell r="C168" t="str">
            <v>YOUDAO DICTIONARY</v>
          </cell>
        </row>
        <row r="169">
          <cell r="B169" t="str">
            <v>柚宝宝</v>
          </cell>
          <cell r="C169" t="str">
            <v>柚宝宝</v>
          </cell>
        </row>
        <row r="170">
          <cell r="B170" t="str">
            <v>育儿网</v>
          </cell>
          <cell r="C170" t="str">
            <v>CI123</v>
          </cell>
        </row>
        <row r="171">
          <cell r="B171" t="str">
            <v>掌阅</v>
          </cell>
          <cell r="C171" t="str">
            <v>掌阅</v>
          </cell>
        </row>
        <row r="172">
          <cell r="B172" t="str">
            <v>支付宝</v>
          </cell>
          <cell r="C172" t="str">
            <v>ALIPAY</v>
          </cell>
        </row>
        <row r="173">
          <cell r="B173" t="str">
            <v>知乎</v>
          </cell>
          <cell r="C173" t="str">
            <v>ZHIHU</v>
          </cell>
        </row>
        <row r="174">
          <cell r="B174" t="str">
            <v>中关村在线</v>
          </cell>
          <cell r="C174" t="str">
            <v>ZOL</v>
          </cell>
        </row>
        <row r="175">
          <cell r="B175" t="str">
            <v>中国银联</v>
          </cell>
          <cell r="C175" t="str">
            <v>中国银联</v>
          </cell>
        </row>
        <row r="176">
          <cell r="B176" t="str">
            <v>字节跳动系</v>
          </cell>
          <cell r="C176" t="str">
            <v>字节跳动系</v>
          </cell>
        </row>
        <row r="177">
          <cell r="B177" t="str">
            <v>(unknown)</v>
          </cell>
          <cell r="C177" t="str">
            <v>(unknown)</v>
          </cell>
        </row>
        <row r="178">
          <cell r="B178" t="str">
            <v>OFweek</v>
          </cell>
          <cell r="C178" t="str">
            <v>OFweek</v>
          </cell>
        </row>
        <row r="179">
          <cell r="B179" t="str">
            <v>Uni Desk</v>
          </cell>
          <cell r="C179" t="str">
            <v>Uni Desk</v>
          </cell>
        </row>
        <row r="180">
          <cell r="B180" t="str">
            <v>腕表之家</v>
          </cell>
          <cell r="C180" t="str">
            <v>腕表之家</v>
          </cell>
        </row>
        <row r="181">
          <cell r="B181" t="str">
            <v>东信点媒DSP</v>
          </cell>
          <cell r="C181" t="str">
            <v>东信点媒DSP</v>
          </cell>
        </row>
        <row r="182">
          <cell r="B182" t="str">
            <v>站酷</v>
          </cell>
          <cell r="C182" t="str">
            <v>站酷</v>
          </cell>
        </row>
        <row r="183">
          <cell r="B183" t="str">
            <v>广点通</v>
          </cell>
          <cell r="C183" t="str">
            <v>广点通</v>
          </cell>
        </row>
        <row r="184">
          <cell r="B184" t="str">
            <v>飞客茶馆旅行网</v>
          </cell>
          <cell r="C184" t="str">
            <v>飞客茶馆旅行网</v>
          </cell>
        </row>
        <row r="185">
          <cell r="B185" t="str">
            <v>咪咕视频</v>
          </cell>
          <cell r="C185" t="str">
            <v>咪咕视频</v>
          </cell>
        </row>
        <row r="186">
          <cell r="B186" t="str">
            <v>汽车之家</v>
          </cell>
          <cell r="C186" t="str">
            <v>汽车之家</v>
          </cell>
        </row>
        <row r="187">
          <cell r="B187" t="str">
            <v>中国数字视听网</v>
          </cell>
          <cell r="C187" t="str">
            <v>中国数字视听网</v>
          </cell>
        </row>
        <row r="188">
          <cell r="B188" t="str">
            <v>懂车帝</v>
          </cell>
          <cell r="C188" t="str">
            <v>懂车帝</v>
          </cell>
        </row>
        <row r="189">
          <cell r="B189" t="str">
            <v>悠易互通</v>
          </cell>
          <cell r="C189" t="str">
            <v>悠易互通</v>
          </cell>
        </row>
        <row r="190">
          <cell r="B190" t="str">
            <v>搜狐新闻</v>
          </cell>
          <cell r="C190" t="str">
            <v>搜狐新闻</v>
          </cell>
        </row>
        <row r="191">
          <cell r="B191" t="str">
            <v>太平洋电脑网</v>
          </cell>
          <cell r="C191" t="str">
            <v>太平洋电脑网</v>
          </cell>
        </row>
        <row r="192">
          <cell r="B192" t="str">
            <v>时尚芭莎</v>
          </cell>
          <cell r="C192" t="str">
            <v>时尚芭莎</v>
          </cell>
        </row>
        <row r="193">
          <cell r="B193" t="str">
            <v>DSP-慎用</v>
          </cell>
          <cell r="C193" t="str">
            <v>DSP-慎用</v>
          </cell>
        </row>
        <row r="194">
          <cell r="B194" t="str">
            <v>快科技</v>
          </cell>
          <cell r="C194" t="str">
            <v>快科技</v>
          </cell>
        </row>
        <row r="195">
          <cell r="B195" t="str">
            <v>科大讯飞</v>
          </cell>
          <cell r="C195" t="str">
            <v>科大讯飞</v>
          </cell>
        </row>
        <row r="196">
          <cell r="B196" t="str">
            <v>联想DSP</v>
          </cell>
          <cell r="C196" t="str">
            <v>联想DSP</v>
          </cell>
        </row>
        <row r="197">
          <cell r="B197" t="str">
            <v>美团网</v>
          </cell>
          <cell r="C197" t="str">
            <v>美团网</v>
          </cell>
        </row>
        <row r="198">
          <cell r="B198" t="str">
            <v>凤凰新闻</v>
          </cell>
          <cell r="C198" t="str">
            <v>凤凰新闻</v>
          </cell>
        </row>
        <row r="199">
          <cell r="B199" t="str">
            <v>品友互动</v>
          </cell>
          <cell r="C199" t="str">
            <v>品友互动</v>
          </cell>
        </row>
        <row r="200">
          <cell r="B200" t="str">
            <v>斯沃琪官网</v>
          </cell>
          <cell r="C200" t="str">
            <v>斯沃琪官网</v>
          </cell>
        </row>
        <row r="201">
          <cell r="B201" t="str">
            <v>中国家电网</v>
          </cell>
          <cell r="C201" t="str">
            <v>中国家电网</v>
          </cell>
        </row>
        <row r="202">
          <cell r="B202" t="str">
            <v>Xaxis</v>
          </cell>
          <cell r="C202" t="str">
            <v>Xaxis</v>
          </cell>
        </row>
        <row r="203">
          <cell r="B203" t="str">
            <v>新浪新闻</v>
          </cell>
          <cell r="C203" t="str">
            <v>新浪新闻</v>
          </cell>
        </row>
        <row r="204">
          <cell r="B204" t="str">
            <v>IT之家</v>
          </cell>
          <cell r="C204" t="str">
            <v>IT之家</v>
          </cell>
        </row>
        <row r="205">
          <cell r="B205" t="str">
            <v>百姓家电网</v>
          </cell>
          <cell r="C205" t="str">
            <v>百姓家电网</v>
          </cell>
        </row>
        <row r="206">
          <cell r="B206" t="str">
            <v>大正高尔夫</v>
          </cell>
          <cell r="C206" t="str">
            <v>大正高尔夫</v>
          </cell>
        </row>
        <row r="207">
          <cell r="B207" t="str">
            <v>超能网</v>
          </cell>
          <cell r="C207" t="str">
            <v>超能网</v>
          </cell>
        </row>
        <row r="208">
          <cell r="B208" t="str">
            <v>快看</v>
          </cell>
          <cell r="C208" t="str">
            <v>快看</v>
          </cell>
        </row>
        <row r="209">
          <cell r="B209" t="str">
            <v>慧聪网</v>
          </cell>
          <cell r="C209" t="str">
            <v>慧聪网</v>
          </cell>
        </row>
        <row r="210">
          <cell r="B210" t="str">
            <v>葛兰素史克DSP</v>
          </cell>
          <cell r="C210" t="str">
            <v>葛兰素史克DSP</v>
          </cell>
        </row>
        <row r="211">
          <cell r="B211" t="str">
            <v>中国买车网</v>
          </cell>
          <cell r="C211" t="str">
            <v>中国买车网</v>
          </cell>
        </row>
        <row r="212">
          <cell r="B212" t="str">
            <v>中国移动</v>
          </cell>
          <cell r="C212" t="str">
            <v>中国移动</v>
          </cell>
        </row>
        <row r="213">
          <cell r="B213" t="str">
            <v>桔柚</v>
          </cell>
          <cell r="C213" t="str">
            <v>桔柚</v>
          </cell>
        </row>
        <row r="214">
          <cell r="B214" t="str">
            <v>云闪付</v>
          </cell>
          <cell r="C214" t="str">
            <v>云闪付</v>
          </cell>
        </row>
        <row r="215">
          <cell r="B215" t="str">
            <v>铁路12306</v>
          </cell>
          <cell r="C215" t="str">
            <v>铁路12306</v>
          </cell>
        </row>
        <row r="216">
          <cell r="B216" t="str">
            <v>网上车市</v>
          </cell>
          <cell r="C216" t="str">
            <v>网上车市</v>
          </cell>
        </row>
        <row r="217">
          <cell r="B217" t="str">
            <v>脉脉</v>
          </cell>
          <cell r="C217" t="str">
            <v>脉脉</v>
          </cell>
        </row>
        <row r="218">
          <cell r="B218" t="str">
            <v>无限极</v>
          </cell>
          <cell r="C218" t="str">
            <v>无限极</v>
          </cell>
        </row>
        <row r="219">
          <cell r="B219" t="str">
            <v>中国通信网</v>
          </cell>
          <cell r="C219" t="str">
            <v>中国通信网</v>
          </cell>
        </row>
        <row r="220">
          <cell r="B220" t="str">
            <v>闽南网</v>
          </cell>
          <cell r="C220" t="str">
            <v>闽南网</v>
          </cell>
        </row>
        <row r="221">
          <cell r="B221" t="str">
            <v>新浪乐居</v>
          </cell>
          <cell r="C221" t="str">
            <v>新浪乐居</v>
          </cell>
        </row>
        <row r="222">
          <cell r="B222" t="str">
            <v>36氪</v>
          </cell>
          <cell r="C222" t="str">
            <v>36氪</v>
          </cell>
        </row>
        <row r="223">
          <cell r="B223" t="str">
            <v>动静</v>
          </cell>
          <cell r="C223" t="str">
            <v>动静</v>
          </cell>
        </row>
        <row r="224">
          <cell r="B224" t="str">
            <v>中国工控网</v>
          </cell>
          <cell r="C224" t="str">
            <v>中国工控网</v>
          </cell>
        </row>
        <row r="225">
          <cell r="B225" t="str">
            <v>懂车帝效果联盟</v>
          </cell>
          <cell r="C225" t="str">
            <v>懂车帝效果联盟</v>
          </cell>
        </row>
        <row r="226">
          <cell r="B226" t="str">
            <v>航旅纵横</v>
          </cell>
          <cell r="C226" t="str">
            <v>航旅纵横</v>
          </cell>
        </row>
        <row r="227">
          <cell r="B227" t="str">
            <v>车讯网</v>
          </cell>
          <cell r="C227" t="str">
            <v>车讯网</v>
          </cell>
        </row>
        <row r="228">
          <cell r="B228" t="str">
            <v>飞猪</v>
          </cell>
          <cell r="C228" t="str">
            <v>飞猪</v>
          </cell>
        </row>
        <row r="229">
          <cell r="B229" t="str">
            <v>舜网</v>
          </cell>
          <cell r="C229" t="str">
            <v>舜网</v>
          </cell>
        </row>
        <row r="230">
          <cell r="B230" t="str">
            <v>飞常准</v>
          </cell>
          <cell r="C230" t="str">
            <v>飞常准</v>
          </cell>
        </row>
        <row r="231">
          <cell r="B231" t="str">
            <v>腾讯体育</v>
          </cell>
          <cell r="C231" t="str">
            <v>腾讯体育</v>
          </cell>
        </row>
        <row r="232">
          <cell r="B232" t="str">
            <v>WECHAT</v>
          </cell>
          <cell r="C232" t="str">
            <v>WECHAT</v>
          </cell>
        </row>
        <row r="233">
          <cell r="B233" t="str">
            <v>美团外卖</v>
          </cell>
          <cell r="C233" t="str">
            <v>美团外卖</v>
          </cell>
        </row>
        <row r="234">
          <cell r="B234" t="str">
            <v>豆瓣</v>
          </cell>
          <cell r="C234" t="str">
            <v>豆瓣</v>
          </cell>
        </row>
        <row r="235">
          <cell r="B235" t="str">
            <v>IT168</v>
          </cell>
          <cell r="C235" t="str">
            <v>IT168</v>
          </cell>
        </row>
        <row r="236">
          <cell r="B236" t="str">
            <v>苏州车网</v>
          </cell>
          <cell r="C236" t="str">
            <v>苏州车网</v>
          </cell>
        </row>
        <row r="237">
          <cell r="B237" t="str">
            <v>中国软件网</v>
          </cell>
          <cell r="C237" t="str">
            <v>中国软件网</v>
          </cell>
        </row>
        <row r="238">
          <cell r="B238" t="str">
            <v>京东金融</v>
          </cell>
          <cell r="C238" t="str">
            <v>京东金融</v>
          </cell>
        </row>
        <row r="239">
          <cell r="B239" t="str">
            <v>懂球帝</v>
          </cell>
          <cell r="C239" t="str">
            <v>懂球帝</v>
          </cell>
        </row>
        <row r="240">
          <cell r="B240" t="str">
            <v>大众网</v>
          </cell>
          <cell r="C240" t="str">
            <v>大众网</v>
          </cell>
        </row>
        <row r="241">
          <cell r="B241" t="str">
            <v>虎牙直播</v>
          </cell>
          <cell r="C241" t="str">
            <v>虎牙直播</v>
          </cell>
        </row>
        <row r="242">
          <cell r="B242" t="str">
            <v>航班管家</v>
          </cell>
          <cell r="C242" t="str">
            <v>航班管家</v>
          </cell>
        </row>
        <row r="243">
          <cell r="B243" t="str">
            <v>识货</v>
          </cell>
          <cell r="C243" t="str">
            <v>识货</v>
          </cell>
        </row>
        <row r="244">
          <cell r="B244" t="str">
            <v>土巴兔</v>
          </cell>
          <cell r="C244" t="str">
            <v>土巴兔</v>
          </cell>
        </row>
        <row r="245">
          <cell r="B245" t="str">
            <v>天策DSP</v>
          </cell>
          <cell r="C245" t="str">
            <v>天策DSP</v>
          </cell>
        </row>
        <row r="246">
          <cell r="B246" t="str">
            <v>民航资源网</v>
          </cell>
          <cell r="C246" t="str">
            <v>民航资源网</v>
          </cell>
        </row>
        <row r="247">
          <cell r="B247" t="str">
            <v>EternityX</v>
          </cell>
          <cell r="C247" t="str">
            <v>EternityX</v>
          </cell>
        </row>
        <row r="248">
          <cell r="B248" t="str">
            <v>58车</v>
          </cell>
          <cell r="C248" t="str">
            <v>58车</v>
          </cell>
        </row>
        <row r="249">
          <cell r="B249" t="str">
            <v>19汽车网</v>
          </cell>
          <cell r="C249" t="str">
            <v>19汽车网</v>
          </cell>
        </row>
        <row r="250">
          <cell r="B250" t="str">
            <v>高铁管家</v>
          </cell>
          <cell r="C250" t="str">
            <v>高铁管家</v>
          </cell>
        </row>
        <row r="251">
          <cell r="B251" t="str">
            <v>红板报</v>
          </cell>
          <cell r="C251" t="str">
            <v>红板报</v>
          </cell>
        </row>
        <row r="252">
          <cell r="B252" t="str">
            <v>斗鱼</v>
          </cell>
          <cell r="C252" t="str">
            <v>斗鱼</v>
          </cell>
        </row>
        <row r="253">
          <cell r="B253" t="str">
            <v>安徽生活网</v>
          </cell>
          <cell r="C253" t="str">
            <v>安徽生活网</v>
          </cell>
        </row>
        <row r="254">
          <cell r="B254" t="str">
            <v>合肥论坛</v>
          </cell>
          <cell r="C254" t="str">
            <v>合肥论坛</v>
          </cell>
        </row>
        <row r="255">
          <cell r="B255" t="str">
            <v>健康一线</v>
          </cell>
          <cell r="C255" t="str">
            <v>健康一线</v>
          </cell>
        </row>
        <row r="256">
          <cell r="B256" t="str">
            <v>大众点评</v>
          </cell>
          <cell r="C256" t="str">
            <v>大众点评</v>
          </cell>
        </row>
        <row r="257">
          <cell r="B257" t="str">
            <v>乐活社区</v>
          </cell>
          <cell r="C257" t="str">
            <v>乐活社区</v>
          </cell>
        </row>
        <row r="258">
          <cell r="B258" t="str">
            <v>天极网</v>
          </cell>
          <cell r="C258" t="str">
            <v>天极网</v>
          </cell>
        </row>
        <row r="259">
          <cell r="B259" t="str">
            <v>韩小圈</v>
          </cell>
          <cell r="C259" t="str">
            <v>韩小圈</v>
          </cell>
        </row>
        <row r="260">
          <cell r="B260" t="str">
            <v>财联社</v>
          </cell>
          <cell r="C260" t="str">
            <v>财联社</v>
          </cell>
        </row>
        <row r="261">
          <cell r="B261" t="str">
            <v>爱卡汽车网</v>
          </cell>
          <cell r="C261" t="str">
            <v>爱卡汽车网</v>
          </cell>
        </row>
        <row r="262">
          <cell r="B262" t="str">
            <v>Line</v>
          </cell>
          <cell r="C262" t="str">
            <v>Line</v>
          </cell>
        </row>
        <row r="263">
          <cell r="B263" t="str">
            <v>MEDIA-慎用</v>
          </cell>
          <cell r="C263" t="str">
            <v>MEDIA-慎用</v>
          </cell>
        </row>
        <row r="264">
          <cell r="B264" t="str">
            <v>扫描全能王</v>
          </cell>
          <cell r="C264" t="str">
            <v>扫描全能王</v>
          </cell>
        </row>
        <row r="265">
          <cell r="B265" t="str">
            <v>京易投</v>
          </cell>
          <cell r="C265" t="str">
            <v>京易投</v>
          </cell>
        </row>
        <row r="266">
          <cell r="B266" t="str">
            <v>融途网</v>
          </cell>
          <cell r="C266" t="str">
            <v>融途网</v>
          </cell>
        </row>
        <row r="267">
          <cell r="B267" t="str">
            <v>网易邮箱</v>
          </cell>
          <cell r="C267" t="str">
            <v>网易邮箱</v>
          </cell>
        </row>
        <row r="268">
          <cell r="B268" t="str">
            <v>汽车报价大全</v>
          </cell>
          <cell r="C268" t="str">
            <v>汽车报价大全</v>
          </cell>
        </row>
        <row r="269">
          <cell r="B269" t="str">
            <v>企业网</v>
          </cell>
          <cell r="C269" t="str">
            <v>企业网</v>
          </cell>
        </row>
        <row r="270">
          <cell r="B270" t="str">
            <v>云南房网</v>
          </cell>
          <cell r="C270" t="str">
            <v>云南房网</v>
          </cell>
        </row>
        <row r="271">
          <cell r="B271" t="str">
            <v>有驾</v>
          </cell>
          <cell r="C271" t="str">
            <v>有驾</v>
          </cell>
        </row>
        <row r="272">
          <cell r="B272" t="str">
            <v>Blued</v>
          </cell>
          <cell r="C272" t="str">
            <v>Blued</v>
          </cell>
        </row>
        <row r="273">
          <cell r="B273" t="str">
            <v>烟台论坛</v>
          </cell>
          <cell r="C273" t="str">
            <v>烟台论坛</v>
          </cell>
        </row>
        <row r="274">
          <cell r="B274" t="str">
            <v>红网</v>
          </cell>
          <cell r="C274" t="str">
            <v>红网</v>
          </cell>
        </row>
        <row r="275">
          <cell r="B275" t="str">
            <v>豆果美食</v>
          </cell>
          <cell r="C275" t="str">
            <v>豆果美食</v>
          </cell>
        </row>
        <row r="276">
          <cell r="B276" t="str">
            <v>哈啰</v>
          </cell>
          <cell r="C276" t="str">
            <v>哈啰</v>
          </cell>
        </row>
        <row r="277">
          <cell r="B277" t="str">
            <v>银联DSP</v>
          </cell>
          <cell r="C277" t="str">
            <v>银联DSP</v>
          </cell>
        </row>
        <row r="278">
          <cell r="B278" t="str">
            <v>淘宝闪购</v>
          </cell>
          <cell r="C278" t="str">
            <v>淘宝闪购</v>
          </cell>
        </row>
        <row r="279">
          <cell r="B279" t="str">
            <v>爱点击</v>
          </cell>
          <cell r="C279" t="str">
            <v>爱点击</v>
          </cell>
        </row>
        <row r="280">
          <cell r="B280" t="str">
            <v>太平洋家居网</v>
          </cell>
          <cell r="C280" t="str">
            <v>太平洋家居网</v>
          </cell>
        </row>
        <row r="281">
          <cell r="B281" t="str">
            <v>咕咚运动</v>
          </cell>
          <cell r="C281" t="str">
            <v>咕咚运动</v>
          </cell>
        </row>
        <row r="282">
          <cell r="B282" t="str">
            <v>澎湃新闻</v>
          </cell>
          <cell r="C282" t="str">
            <v>澎湃新闻</v>
          </cell>
        </row>
        <row r="283">
          <cell r="B283" t="str">
            <v>口碑</v>
          </cell>
          <cell r="C283" t="str">
            <v>口碑</v>
          </cell>
        </row>
        <row r="284">
          <cell r="B284" t="str">
            <v>麻辣社区</v>
          </cell>
          <cell r="C284" t="str">
            <v>麻辣社区</v>
          </cell>
        </row>
        <row r="285">
          <cell r="B285" t="str">
            <v>腾讯会议</v>
          </cell>
          <cell r="C285" t="str">
            <v>腾讯会议</v>
          </cell>
        </row>
        <row r="286">
          <cell r="B286" t="str">
            <v>QQ阅读</v>
          </cell>
          <cell r="C286" t="str">
            <v>QQ阅读</v>
          </cell>
        </row>
        <row r="287">
          <cell r="B287" t="str">
            <v>猫眼电影</v>
          </cell>
          <cell r="C287" t="str">
            <v>猫眼电影</v>
          </cell>
        </row>
        <row r="288">
          <cell r="B288" t="str">
            <v>每日环球展览</v>
          </cell>
          <cell r="C288" t="str">
            <v>每日环球展览</v>
          </cell>
        </row>
        <row r="289">
          <cell r="B289" t="str">
            <v>有道翻译官</v>
          </cell>
          <cell r="C289" t="str">
            <v>有道翻译官</v>
          </cell>
        </row>
        <row r="290">
          <cell r="B290" t="str">
            <v>中文业界资讯站</v>
          </cell>
          <cell r="C290" t="str">
            <v>中文业界资讯站</v>
          </cell>
        </row>
        <row r="291">
          <cell r="B291" t="str">
            <v>小黑珑</v>
          </cell>
          <cell r="C291" t="str">
            <v>小黑珑</v>
          </cell>
        </row>
        <row r="292">
          <cell r="B292" t="str">
            <v>开眼 Eyepetizer</v>
          </cell>
          <cell r="C292" t="str">
            <v>开眼 Eyepetizer</v>
          </cell>
        </row>
        <row r="293">
          <cell r="B293" t="str">
            <v>安阳新闻网</v>
          </cell>
          <cell r="C293" t="str">
            <v>安阳新闻网</v>
          </cell>
        </row>
        <row r="294">
          <cell r="B294" t="str">
            <v>每日环球视野</v>
          </cell>
          <cell r="C294" t="str">
            <v>每日环球视野</v>
          </cell>
        </row>
        <row r="295">
          <cell r="B295" t="str">
            <v>小米电视</v>
          </cell>
          <cell r="C295" t="str">
            <v>小米电视</v>
          </cell>
        </row>
        <row r="296">
          <cell r="B296" t="str">
            <v>顺网</v>
          </cell>
          <cell r="C296" t="str">
            <v>顺网</v>
          </cell>
        </row>
        <row r="297">
          <cell r="B297" t="str">
            <v>集奥众和</v>
          </cell>
          <cell r="C297" t="str">
            <v>集奥众和</v>
          </cell>
        </row>
        <row r="298">
          <cell r="B298" t="str">
            <v>小度智能屏</v>
          </cell>
          <cell r="C298" t="str">
            <v>小度智能屏</v>
          </cell>
        </row>
        <row r="299">
          <cell r="B299" t="str">
            <v>婚礼纪</v>
          </cell>
          <cell r="C299" t="str">
            <v>婚礼纪</v>
          </cell>
        </row>
        <row r="300">
          <cell r="B300" t="str">
            <v>每日腕表</v>
          </cell>
          <cell r="C300" t="str">
            <v>每日腕表</v>
          </cell>
        </row>
        <row r="301">
          <cell r="B301" t="str">
            <v>智云众</v>
          </cell>
          <cell r="C301" t="str">
            <v>智云众</v>
          </cell>
        </row>
        <row r="302">
          <cell r="B302" t="str">
            <v>水印相机</v>
          </cell>
          <cell r="C302" t="str">
            <v>水印相机</v>
          </cell>
        </row>
        <row r="303">
          <cell r="B303" t="str">
            <v>爱盈利</v>
          </cell>
          <cell r="C303" t="str">
            <v>爱盈利</v>
          </cell>
        </row>
        <row r="304">
          <cell r="B304" t="str">
            <v>每日珠宝杂志</v>
          </cell>
          <cell r="C304" t="str">
            <v>每日珠宝杂志</v>
          </cell>
        </row>
        <row r="305">
          <cell r="B305" t="str">
            <v>激萌</v>
          </cell>
          <cell r="C305" t="str">
            <v>激萌</v>
          </cell>
        </row>
        <row r="306">
          <cell r="B306" t="str">
            <v>旺脉信息</v>
          </cell>
          <cell r="C306" t="str">
            <v>旺脉信息</v>
          </cell>
        </row>
        <row r="307">
          <cell r="B307" t="str">
            <v>荔枝</v>
          </cell>
          <cell r="C307" t="str">
            <v>荔枝</v>
          </cell>
        </row>
        <row r="308">
          <cell r="B308" t="str">
            <v>腾讯门户</v>
          </cell>
          <cell r="C308" t="str">
            <v>腾讯门户</v>
          </cell>
        </row>
        <row r="309">
          <cell r="B309" t="str">
            <v>百度贴吧</v>
          </cell>
          <cell r="C309" t="str">
            <v>百度贴吧</v>
          </cell>
        </row>
        <row r="310">
          <cell r="B310" t="str">
            <v>iBag</v>
          </cell>
          <cell r="C310" t="str">
            <v>iBag</v>
          </cell>
        </row>
        <row r="311">
          <cell r="B311" t="str">
            <v>东北网</v>
          </cell>
          <cell r="C311" t="str">
            <v>东北网</v>
          </cell>
        </row>
        <row r="312">
          <cell r="B312" t="str">
            <v>直播吧</v>
          </cell>
          <cell r="C312" t="str">
            <v>直播吧</v>
          </cell>
        </row>
        <row r="313">
          <cell r="B313" t="str">
            <v>财新网</v>
          </cell>
          <cell r="C313" t="str">
            <v>财新网</v>
          </cell>
        </row>
        <row r="314">
          <cell r="B314" t="str">
            <v>腾讯文档</v>
          </cell>
          <cell r="C314" t="str">
            <v>腾讯文档</v>
          </cell>
        </row>
        <row r="315">
          <cell r="B315" t="str">
            <v>腾讯地图</v>
          </cell>
          <cell r="C315" t="str">
            <v>腾讯地图</v>
          </cell>
        </row>
        <row r="316">
          <cell r="B316" t="str">
            <v>乐乎</v>
          </cell>
          <cell r="C316" t="str">
            <v>乐乎</v>
          </cell>
        </row>
        <row r="317">
          <cell r="B317" t="str">
            <v>游侠网</v>
          </cell>
          <cell r="C317" t="str">
            <v>游侠网</v>
          </cell>
        </row>
        <row r="318">
          <cell r="B318" t="str">
            <v>嘀嗒出行</v>
          </cell>
          <cell r="C318" t="str">
            <v>嘀嗒出行</v>
          </cell>
        </row>
        <row r="319">
          <cell r="B319" t="str">
            <v>工程机械信息网</v>
          </cell>
          <cell r="C319" t="str">
            <v>工程机械信息网</v>
          </cell>
        </row>
        <row r="320">
          <cell r="B320" t="str">
            <v>穿山甲</v>
          </cell>
          <cell r="C320" t="str">
            <v>穿山甲</v>
          </cell>
        </row>
        <row r="321">
          <cell r="B321" t="str">
            <v>蓬景数字</v>
          </cell>
          <cell r="C321" t="str">
            <v>蓬景数字</v>
          </cell>
        </row>
        <row r="322">
          <cell r="B322" t="str">
            <v>聚胜万合</v>
          </cell>
          <cell r="C322" t="str">
            <v>聚胜万合</v>
          </cell>
        </row>
        <row r="323">
          <cell r="B323" t="str">
            <v>滑呗</v>
          </cell>
          <cell r="C323" t="str">
            <v>滑呗</v>
          </cell>
        </row>
        <row r="324">
          <cell r="B324" t="str">
            <v>Axis</v>
          </cell>
          <cell r="C324" t="str">
            <v>Axis</v>
          </cell>
        </row>
        <row r="325">
          <cell r="B325" t="str">
            <v>新浪财经</v>
          </cell>
          <cell r="C325" t="str">
            <v>新浪财经</v>
          </cell>
        </row>
        <row r="326">
          <cell r="B326" t="str">
            <v>周末画报</v>
          </cell>
          <cell r="C326" t="str">
            <v>周末画报</v>
          </cell>
        </row>
        <row r="327">
          <cell r="B327" t="str">
            <v>住小帮</v>
          </cell>
          <cell r="C327" t="str">
            <v>住小帮</v>
          </cell>
        </row>
        <row r="328">
          <cell r="B328" t="str">
            <v>汽车口碑网</v>
          </cell>
          <cell r="C328" t="str">
            <v>汽车口碑网</v>
          </cell>
        </row>
        <row r="329">
          <cell r="B329" t="str">
            <v>无他相机</v>
          </cell>
          <cell r="C329" t="str">
            <v>无他相机</v>
          </cell>
        </row>
        <row r="330">
          <cell r="B330" t="str">
            <v>车慧互动</v>
          </cell>
          <cell r="C330" t="str">
            <v>车慧互动</v>
          </cell>
        </row>
        <row r="331">
          <cell r="B331" t="str">
            <v>IPG盟博</v>
          </cell>
          <cell r="C331" t="str">
            <v>IPG盟博</v>
          </cell>
        </row>
        <row r="332">
          <cell r="B332" t="str">
            <v>ReachMax</v>
          </cell>
          <cell r="C332" t="str">
            <v>ReachMax</v>
          </cell>
        </row>
        <row r="333">
          <cell r="B333" t="str">
            <v>超级课程表</v>
          </cell>
          <cell r="C333" t="str">
            <v>超级课程表</v>
          </cell>
        </row>
        <row r="334">
          <cell r="B334" t="str">
            <v>ELLE中国</v>
          </cell>
          <cell r="C334" t="str">
            <v>ELLE中国</v>
          </cell>
        </row>
        <row r="335">
          <cell r="B335" t="str">
            <v>FT中文网</v>
          </cell>
          <cell r="C335" t="str">
            <v>FT中文网</v>
          </cell>
        </row>
        <row r="336">
          <cell r="B336" t="str">
            <v>CEL</v>
          </cell>
          <cell r="C336" t="str">
            <v>CEL</v>
          </cell>
        </row>
        <row r="337">
          <cell r="B337" t="str">
            <v>CHIP</v>
          </cell>
          <cell r="C337" t="str">
            <v>CHIP</v>
          </cell>
        </row>
        <row r="338">
          <cell r="B338" t="str">
            <v>合房网</v>
          </cell>
          <cell r="C338" t="str">
            <v>合房网</v>
          </cell>
        </row>
        <row r="339">
          <cell r="B339" t="str">
            <v>青岛汽车网</v>
          </cell>
          <cell r="C339" t="str">
            <v>青岛汽车网</v>
          </cell>
        </row>
        <row r="340">
          <cell r="B340" t="str">
            <v>溢楚DSP</v>
          </cell>
          <cell r="C340" t="str">
            <v>溢楚DSP</v>
          </cell>
        </row>
        <row r="341">
          <cell r="B341" t="str">
            <v>临沂大众网</v>
          </cell>
          <cell r="C341" t="str">
            <v>临沂大众网</v>
          </cell>
        </row>
        <row r="342">
          <cell r="B342" t="str">
            <v>互动通</v>
          </cell>
          <cell r="C342" t="str">
            <v>互动通</v>
          </cell>
        </row>
        <row r="343">
          <cell r="B343" t="str">
            <v>玉米移动</v>
          </cell>
          <cell r="C343" t="str">
            <v>玉米移动</v>
          </cell>
        </row>
        <row r="344">
          <cell r="B344" t="str">
            <v>绍兴E网</v>
          </cell>
          <cell r="C344" t="str">
            <v>绍兴E网</v>
          </cell>
        </row>
        <row r="345">
          <cell r="B345" t="str">
            <v>美数</v>
          </cell>
          <cell r="C345" t="str">
            <v>美数</v>
          </cell>
        </row>
        <row r="346">
          <cell r="B346" t="str">
            <v>直销专业网</v>
          </cell>
          <cell r="C346" t="str">
            <v>直销专业网</v>
          </cell>
        </row>
        <row r="347">
          <cell r="B347" t="str">
            <v>海信智能电视</v>
          </cell>
          <cell r="C347" t="str">
            <v>海信智能电视</v>
          </cell>
        </row>
        <row r="348">
          <cell r="B348" t="str">
            <v>汽水音乐</v>
          </cell>
          <cell r="C348" t="str">
            <v>汽水音乐</v>
          </cell>
        </row>
        <row r="349">
          <cell r="B349" t="str">
            <v>企鹅FM</v>
          </cell>
          <cell r="C349" t="str">
            <v>企鹅FM</v>
          </cell>
        </row>
        <row r="350">
          <cell r="B350" t="str">
            <v>至顶网</v>
          </cell>
          <cell r="C350" t="str">
            <v>至顶网</v>
          </cell>
        </row>
        <row r="351">
          <cell r="B351" t="str">
            <v>萃弈</v>
          </cell>
          <cell r="C351" t="str">
            <v>萃弈</v>
          </cell>
        </row>
        <row r="352">
          <cell r="B352" t="str">
            <v>长城网</v>
          </cell>
          <cell r="C352" t="str">
            <v>长城网</v>
          </cell>
        </row>
        <row r="353">
          <cell r="B353" t="str">
            <v>小米日历</v>
          </cell>
          <cell r="C353" t="str">
            <v>小米日历</v>
          </cell>
        </row>
        <row r="354">
          <cell r="B354" t="str">
            <v>汇丰银行</v>
          </cell>
          <cell r="C354" t="str">
            <v>汇丰银行</v>
          </cell>
        </row>
        <row r="355">
          <cell r="B355" t="str">
            <v>名医传世</v>
          </cell>
          <cell r="C355" t="str">
            <v>名医传世</v>
          </cell>
        </row>
        <row r="356">
          <cell r="B356" t="str">
            <v>网迈</v>
          </cell>
          <cell r="C356" t="str">
            <v>网迈</v>
          </cell>
        </row>
        <row r="357">
          <cell r="B357" t="str">
            <v>荆楚网</v>
          </cell>
          <cell r="C357" t="str">
            <v>荆楚网</v>
          </cell>
        </row>
        <row r="358">
          <cell r="B358" t="str">
            <v>开心消消乐</v>
          </cell>
          <cell r="C358" t="str">
            <v>开心消消乐</v>
          </cell>
        </row>
        <row r="359">
          <cell r="B359" t="str">
            <v>博客园</v>
          </cell>
          <cell r="C359" t="str">
            <v>博客园</v>
          </cell>
        </row>
        <row r="360">
          <cell r="B360" t="str">
            <v>电脑报</v>
          </cell>
          <cell r="C360" t="str">
            <v>电脑报</v>
          </cell>
        </row>
        <row r="361">
          <cell r="B361" t="str">
            <v>珑玺</v>
          </cell>
          <cell r="C361" t="str">
            <v>珑玺</v>
          </cell>
        </row>
        <row r="362">
          <cell r="B362" t="str">
            <v>上海家电网</v>
          </cell>
          <cell r="C362" t="str">
            <v>上海家电网</v>
          </cell>
        </row>
        <row r="363">
          <cell r="B363" t="str">
            <v>中华网</v>
          </cell>
          <cell r="C363" t="str">
            <v>中华网</v>
          </cell>
        </row>
        <row r="364">
          <cell r="B364" t="str">
            <v>Artpro</v>
          </cell>
          <cell r="C364" t="str">
            <v>Artpro</v>
          </cell>
        </row>
        <row r="365">
          <cell r="B365" t="str">
            <v>好车网</v>
          </cell>
          <cell r="C365" t="str">
            <v>好车网</v>
          </cell>
        </row>
        <row r="366">
          <cell r="B366" t="str">
            <v>华西都市网</v>
          </cell>
          <cell r="C366" t="str">
            <v>华西都市网</v>
          </cell>
        </row>
        <row r="367">
          <cell r="B367" t="str">
            <v>秒针</v>
          </cell>
          <cell r="C367" t="str">
            <v>秒针</v>
          </cell>
        </row>
        <row r="368">
          <cell r="B368" t="str">
            <v>半岛网</v>
          </cell>
          <cell r="C368" t="str">
            <v>半岛网</v>
          </cell>
        </row>
        <row r="369">
          <cell r="B369" t="str">
            <v>新数网络</v>
          </cell>
          <cell r="C369" t="str">
            <v>新数网络</v>
          </cell>
        </row>
        <row r="370">
          <cell r="B370" t="str">
            <v>中国数据经济资讯与服务平台</v>
          </cell>
          <cell r="C370" t="str">
            <v>中国数据经济资讯与服务平台</v>
          </cell>
        </row>
        <row r="371">
          <cell r="B371" t="str">
            <v>书旗小说</v>
          </cell>
          <cell r="C371" t="str">
            <v>书旗小说</v>
          </cell>
        </row>
        <row r="372">
          <cell r="B372" t="str">
            <v>华尔街见闻网</v>
          </cell>
          <cell r="C372" t="str">
            <v>华尔街见闻网</v>
          </cell>
        </row>
        <row r="373">
          <cell r="B373" t="str">
            <v>小米应用打包</v>
          </cell>
          <cell r="C373" t="str">
            <v>XIAOMI</v>
          </cell>
        </row>
        <row r="374">
          <cell r="B374" t="str">
            <v>Zaker</v>
          </cell>
          <cell r="C374" t="str">
            <v>Zaker</v>
          </cell>
        </row>
        <row r="375">
          <cell r="B375" t="str">
            <v>WINK</v>
          </cell>
          <cell r="C375" t="str">
            <v>WINK</v>
          </cell>
        </row>
        <row r="376">
          <cell r="B376" t="str">
            <v>界面新闻</v>
          </cell>
          <cell r="C376" t="str">
            <v>界面新闻</v>
          </cell>
        </row>
        <row r="377">
          <cell r="B377" t="str">
            <v>二泉网</v>
          </cell>
          <cell r="C377" t="str">
            <v>二泉网</v>
          </cell>
        </row>
        <row r="378">
          <cell r="B378" t="str">
            <v>华为浏览器</v>
          </cell>
          <cell r="C378" t="str">
            <v>华为浏览器</v>
          </cell>
        </row>
        <row r="379">
          <cell r="B379" t="str">
            <v>酷游通</v>
          </cell>
          <cell r="C379" t="str">
            <v>酷游通</v>
          </cell>
        </row>
        <row r="380">
          <cell r="B380" t="str">
            <v>TCL智屏</v>
          </cell>
          <cell r="C380" t="str">
            <v>TCL智屏</v>
          </cell>
        </row>
        <row r="381">
          <cell r="B381" t="str">
            <v>Travel X</v>
          </cell>
          <cell r="C381" t="str">
            <v>Travel X</v>
          </cell>
        </row>
        <row r="382">
          <cell r="B382" t="str">
            <v>Metro大都会</v>
          </cell>
          <cell r="C382" t="str">
            <v>Metro大都会</v>
          </cell>
        </row>
        <row r="383">
          <cell r="B383" t="str">
            <v>瑞恩传媒</v>
          </cell>
          <cell r="C383" t="str">
            <v>瑞恩传媒</v>
          </cell>
        </row>
        <row r="384">
          <cell r="B384" t="str">
            <v>海峡网</v>
          </cell>
          <cell r="C384" t="str">
            <v>海峡网</v>
          </cell>
        </row>
        <row r="385">
          <cell r="B385" t="str">
            <v>天天P图</v>
          </cell>
          <cell r="C385" t="str">
            <v>天天P图</v>
          </cell>
        </row>
        <row r="386">
          <cell r="B386" t="str">
            <v>青岛新闻网</v>
          </cell>
          <cell r="C386" t="str">
            <v>青岛新闻网</v>
          </cell>
        </row>
        <row r="387">
          <cell r="B387" t="str">
            <v>家电消费网</v>
          </cell>
          <cell r="C387" t="str">
            <v>家电消费网</v>
          </cell>
        </row>
        <row r="388">
          <cell r="B388" t="str">
            <v>麻辣选车</v>
          </cell>
          <cell r="C388" t="str">
            <v>麻辣选车</v>
          </cell>
        </row>
        <row r="389">
          <cell r="B389" t="str">
            <v>赤峰生活网</v>
          </cell>
          <cell r="C389" t="str">
            <v>赤峰生活网</v>
          </cell>
        </row>
        <row r="390">
          <cell r="B390" t="str">
            <v>北京擎众</v>
          </cell>
          <cell r="C390" t="str">
            <v>北京擎众</v>
          </cell>
        </row>
        <row r="391">
          <cell r="B391" t="str">
            <v>化龙巷</v>
          </cell>
          <cell r="C391" t="str">
            <v>化龙巷</v>
          </cell>
        </row>
        <row r="392">
          <cell r="B392" t="str">
            <v>淘车网</v>
          </cell>
          <cell r="C392" t="str">
            <v>淘车网</v>
          </cell>
        </row>
        <row r="393">
          <cell r="B393" t="str">
            <v>漫画控</v>
          </cell>
          <cell r="C393" t="str">
            <v>漫画控</v>
          </cell>
        </row>
        <row r="394">
          <cell r="B394" t="str">
            <v>迈外迪科技</v>
          </cell>
          <cell r="C394" t="str">
            <v>迈外迪科技</v>
          </cell>
        </row>
        <row r="395">
          <cell r="B395" t="str">
            <v>51CTO</v>
          </cell>
          <cell r="C395" t="str">
            <v>51CTO</v>
          </cell>
        </row>
        <row r="396">
          <cell r="B396" t="str">
            <v>锦州新闻网</v>
          </cell>
          <cell r="C396" t="str">
            <v>锦州新闻网</v>
          </cell>
        </row>
        <row r="397">
          <cell r="B397" t="str">
            <v>大姨妈</v>
          </cell>
          <cell r="C397" t="str">
            <v>大姨妈</v>
          </cell>
        </row>
        <row r="398">
          <cell r="B398" t="str">
            <v>多看阅读</v>
          </cell>
          <cell r="C398" t="str">
            <v>多看阅读</v>
          </cell>
        </row>
        <row r="399">
          <cell r="B399" t="str">
            <v>腾讯手机管家</v>
          </cell>
          <cell r="C399" t="str">
            <v>腾讯手机管家</v>
          </cell>
        </row>
        <row r="400">
          <cell r="B400" t="str">
            <v>第一财经</v>
          </cell>
          <cell r="C400" t="str">
            <v>第一财经</v>
          </cell>
        </row>
        <row r="401">
          <cell r="B401" t="str">
            <v>MIUI论坛</v>
          </cell>
          <cell r="C401" t="str">
            <v>MIUI论坛</v>
          </cell>
        </row>
        <row r="402">
          <cell r="B402" t="str">
            <v>POCO</v>
          </cell>
          <cell r="C402" t="str">
            <v>POCO</v>
          </cell>
        </row>
        <row r="403">
          <cell r="B403" t="str">
            <v>中华集成灶网</v>
          </cell>
          <cell r="C403" t="str">
            <v>中华集成灶网</v>
          </cell>
        </row>
        <row r="404">
          <cell r="B404" t="str">
            <v>昊观</v>
          </cell>
          <cell r="C404" t="str">
            <v>昊观</v>
          </cell>
        </row>
        <row r="405">
          <cell r="B405" t="str">
            <v>深圳之窗</v>
          </cell>
          <cell r="C405" t="str">
            <v>深圳之窗</v>
          </cell>
        </row>
        <row r="406">
          <cell r="B406" t="str">
            <v>暴风影音</v>
          </cell>
          <cell r="C406" t="str">
            <v>暴风影音</v>
          </cell>
        </row>
        <row r="407">
          <cell r="B407" t="str">
            <v>作业帮</v>
          </cell>
          <cell r="C407" t="str">
            <v>作业帮</v>
          </cell>
        </row>
        <row r="408">
          <cell r="B408" t="str">
            <v>邑兆</v>
          </cell>
          <cell r="C408" t="str">
            <v>邑兆</v>
          </cell>
        </row>
        <row r="409">
          <cell r="B409" t="str">
            <v>邑麦DSP</v>
          </cell>
          <cell r="C409" t="str">
            <v>邑麦DSP</v>
          </cell>
        </row>
        <row r="410">
          <cell r="B410" t="str">
            <v>Qzone</v>
          </cell>
          <cell r="C410" t="str">
            <v>Qzone</v>
          </cell>
        </row>
        <row r="411">
          <cell r="B411" t="str">
            <v>小米浏览器</v>
          </cell>
          <cell r="C411" t="str">
            <v>小米浏览器</v>
          </cell>
        </row>
        <row r="412">
          <cell r="B412" t="str">
            <v>东方财富网</v>
          </cell>
          <cell r="C412" t="str">
            <v>东方财富网</v>
          </cell>
        </row>
        <row r="413">
          <cell r="B413" t="str">
            <v>阿里巴巴</v>
          </cell>
          <cell r="C413" t="str">
            <v>阿里巴巴</v>
          </cell>
        </row>
        <row r="414">
          <cell r="B414" t="str">
            <v>阿里云OS</v>
          </cell>
          <cell r="C414" t="str">
            <v>阿里云OS</v>
          </cell>
        </row>
        <row r="415">
          <cell r="B415" t="str">
            <v>星传媒</v>
          </cell>
          <cell r="C415" t="str">
            <v>星传媒</v>
          </cell>
        </row>
        <row r="416">
          <cell r="B416" t="str">
            <v>掌上英雄联盟</v>
          </cell>
          <cell r="C416" t="str">
            <v>掌上英雄联盟</v>
          </cell>
        </row>
        <row r="417">
          <cell r="B417" t="str">
            <v>掌酷</v>
          </cell>
          <cell r="C417" t="str">
            <v>掌酷</v>
          </cell>
        </row>
        <row r="418">
          <cell r="B418" t="str">
            <v>京东商城</v>
          </cell>
          <cell r="C418" t="str">
            <v>京东商城</v>
          </cell>
        </row>
        <row r="419">
          <cell r="B419" t="str">
            <v>和讯</v>
          </cell>
          <cell r="C419" t="str">
            <v>和讯</v>
          </cell>
        </row>
        <row r="420">
          <cell r="B420" t="str">
            <v>小宇宙</v>
          </cell>
          <cell r="C420" t="str">
            <v>小宇宙</v>
          </cell>
        </row>
        <row r="421">
          <cell r="B421" t="str">
            <v>神马搜索</v>
          </cell>
          <cell r="C421" t="str">
            <v>神马搜索</v>
          </cell>
        </row>
        <row r="422">
          <cell r="B422" t="str">
            <v>iLady</v>
          </cell>
          <cell r="C422" t="str">
            <v>iLady</v>
          </cell>
        </row>
        <row r="423">
          <cell r="B423" t="str">
            <v>上观新闻</v>
          </cell>
          <cell r="C423" t="str">
            <v>上观新闻</v>
          </cell>
        </row>
        <row r="424">
          <cell r="B424" t="str">
            <v>华为-历史媒体慎用</v>
          </cell>
          <cell r="C424" t="str">
            <v>华为-历史媒体慎用</v>
          </cell>
        </row>
        <row r="425">
          <cell r="B425" t="str">
            <v>北方网</v>
          </cell>
          <cell r="C425" t="str">
            <v>北方网</v>
          </cell>
        </row>
        <row r="426">
          <cell r="B426" t="str">
            <v>华为锁屏</v>
          </cell>
          <cell r="C426" t="str">
            <v>华为锁屏</v>
          </cell>
        </row>
        <row r="427">
          <cell r="B427" t="str">
            <v>凯迪网络</v>
          </cell>
          <cell r="C427" t="str">
            <v>凯迪网络</v>
          </cell>
        </row>
        <row r="428">
          <cell r="B428" t="str">
            <v>财经网</v>
          </cell>
          <cell r="C428" t="str">
            <v>财经网</v>
          </cell>
        </row>
        <row r="429">
          <cell r="B429" t="str">
            <v>国美电器</v>
          </cell>
          <cell r="C429" t="str">
            <v>国美电器</v>
          </cell>
        </row>
        <row r="430">
          <cell r="B430" t="str">
            <v>丰巢</v>
          </cell>
          <cell r="C430" t="str">
            <v>丰巢</v>
          </cell>
        </row>
        <row r="431">
          <cell r="B431" t="str">
            <v>VICE中国</v>
          </cell>
          <cell r="C431" t="str">
            <v>VICE中国</v>
          </cell>
        </row>
        <row r="432">
          <cell r="B432" t="str">
            <v>南方网</v>
          </cell>
          <cell r="C432" t="str">
            <v>南方网</v>
          </cell>
        </row>
        <row r="433">
          <cell r="B433" t="str">
            <v>美丽修行</v>
          </cell>
          <cell r="C433" t="str">
            <v>美丽修行</v>
          </cell>
        </row>
        <row r="434">
          <cell r="B434" t="str">
            <v>宝软</v>
          </cell>
          <cell r="C434" t="str">
            <v>宝软</v>
          </cell>
        </row>
        <row r="435">
          <cell r="B435" t="str">
            <v>Burberry</v>
          </cell>
          <cell r="C435" t="str">
            <v>Burberry</v>
          </cell>
        </row>
        <row r="436">
          <cell r="B436" t="str">
            <v>货车宝</v>
          </cell>
          <cell r="C436" t="str">
            <v>货车宝</v>
          </cell>
        </row>
        <row r="437">
          <cell r="B437" t="str">
            <v>车市网</v>
          </cell>
          <cell r="C437" t="str">
            <v>车市网</v>
          </cell>
        </row>
        <row r="438">
          <cell r="B438" t="str">
            <v>EEFocus与非网</v>
          </cell>
          <cell r="C438" t="str">
            <v>EEFocus与非网</v>
          </cell>
        </row>
        <row r="439">
          <cell r="B439" t="str">
            <v>钉钉</v>
          </cell>
          <cell r="C439" t="str">
            <v>钉钉</v>
          </cell>
        </row>
        <row r="440">
          <cell r="B440" t="str">
            <v>车主之家</v>
          </cell>
          <cell r="C440" t="str">
            <v>车主之家</v>
          </cell>
        </row>
        <row r="441">
          <cell r="B441" t="str">
            <v>全能扫描王</v>
          </cell>
          <cell r="C441" t="str">
            <v>全能扫描王</v>
          </cell>
        </row>
        <row r="442">
          <cell r="B442" t="str">
            <v>中国银联云闪付</v>
          </cell>
          <cell r="C442" t="str">
            <v>中国银联云闪付</v>
          </cell>
        </row>
        <row r="443">
          <cell r="B443" t="str">
            <v>淘票票</v>
          </cell>
          <cell r="C443" t="str">
            <v>淘票票</v>
          </cell>
        </row>
        <row r="444">
          <cell r="B444" t="str">
            <v>烟台新闻网</v>
          </cell>
          <cell r="C444" t="str">
            <v>烟台新闻网</v>
          </cell>
        </row>
        <row r="445">
          <cell r="B445" t="str">
            <v>河马剧场</v>
          </cell>
          <cell r="C445" t="str">
            <v>河马剧场</v>
          </cell>
        </row>
        <row r="446">
          <cell r="B446" t="str">
            <v>品数科技</v>
          </cell>
          <cell r="C446" t="str">
            <v>品数科技</v>
          </cell>
        </row>
        <row r="447">
          <cell r="B447" t="str">
            <v>银联智惠</v>
          </cell>
          <cell r="C447" t="str">
            <v>银联智惠</v>
          </cell>
        </row>
        <row r="448">
          <cell r="B448" t="str">
            <v>欢网科技</v>
          </cell>
          <cell r="C448" t="str">
            <v>欢网科技</v>
          </cell>
        </row>
        <row r="449">
          <cell r="B449" t="str">
            <v>梨视频</v>
          </cell>
          <cell r="C449" t="str">
            <v>梨视频</v>
          </cell>
        </row>
        <row r="450">
          <cell r="B450" t="str">
            <v>阿里健康</v>
          </cell>
          <cell r="C450" t="str">
            <v>阿里健康</v>
          </cell>
        </row>
        <row r="451">
          <cell r="B451" t="str">
            <v>每日瑜伽</v>
          </cell>
          <cell r="C451" t="str">
            <v>每日瑜伽</v>
          </cell>
        </row>
        <row r="452">
          <cell r="B452" t="str">
            <v>P1</v>
          </cell>
          <cell r="C452" t="str">
            <v>P1</v>
          </cell>
        </row>
        <row r="453">
          <cell r="B453" t="str">
            <v>悦动圈</v>
          </cell>
          <cell r="C453" t="str">
            <v>悦动圈</v>
          </cell>
        </row>
        <row r="454">
          <cell r="B454" t="str">
            <v>投资者</v>
          </cell>
          <cell r="C454" t="str">
            <v>投资者</v>
          </cell>
        </row>
        <row r="455">
          <cell r="B455" t="str">
            <v>vivo官网-历史媒体慎用</v>
          </cell>
          <cell r="C455" t="str">
            <v>VIVO</v>
          </cell>
        </row>
        <row r="456">
          <cell r="B456" t="str">
            <v>宽带山</v>
          </cell>
          <cell r="C456" t="str">
            <v>宽带山</v>
          </cell>
        </row>
        <row r="457">
          <cell r="B457" t="str">
            <v>封面新闻</v>
          </cell>
          <cell r="C457" t="str">
            <v>封面新闻</v>
          </cell>
        </row>
        <row r="458">
          <cell r="B458" t="str">
            <v>中国网</v>
          </cell>
          <cell r="C458" t="str">
            <v>中国网</v>
          </cell>
        </row>
        <row r="459">
          <cell r="B459" t="str">
            <v>触宝电话</v>
          </cell>
          <cell r="C459" t="str">
            <v>触宝电话</v>
          </cell>
        </row>
        <row r="460">
          <cell r="B460" t="str">
            <v>腾讯动漫</v>
          </cell>
          <cell r="C460" t="str">
            <v>腾讯动漫</v>
          </cell>
        </row>
        <row r="461">
          <cell r="B461" t="str">
            <v>蓝房网</v>
          </cell>
          <cell r="C461" t="str">
            <v>蓝房网</v>
          </cell>
        </row>
        <row r="462">
          <cell r="B462" t="str">
            <v>牛股王</v>
          </cell>
          <cell r="C462" t="str">
            <v>牛股王</v>
          </cell>
        </row>
        <row r="463">
          <cell r="B463" t="str">
            <v>埋堆堆</v>
          </cell>
          <cell r="C463" t="str">
            <v>埋堆堆</v>
          </cell>
        </row>
        <row r="464">
          <cell r="B464" t="str">
            <v>数字尾巴</v>
          </cell>
          <cell r="C464" t="str">
            <v>数字尾巴</v>
          </cell>
        </row>
        <row r="465">
          <cell r="B465" t="str">
            <v>华尔街日报</v>
          </cell>
          <cell r="C465" t="str">
            <v>华尔街日报</v>
          </cell>
        </row>
        <row r="466">
          <cell r="B466" t="str">
            <v>慢钱头条</v>
          </cell>
          <cell r="C466" t="str">
            <v>慢钱头条</v>
          </cell>
        </row>
        <row r="467">
          <cell r="B467" t="str">
            <v>汽车1号汽车网</v>
          </cell>
          <cell r="C467" t="str">
            <v>汽车1号汽车网</v>
          </cell>
        </row>
        <row r="468">
          <cell r="B468" t="str">
            <v>京东智联云</v>
          </cell>
          <cell r="C468" t="str">
            <v>京东智联云</v>
          </cell>
        </row>
        <row r="469">
          <cell r="B469" t="str">
            <v>易扬DSP</v>
          </cell>
          <cell r="C469" t="str">
            <v>易扬DSP</v>
          </cell>
        </row>
        <row r="470">
          <cell r="B470" t="str">
            <v>拼多多</v>
          </cell>
          <cell r="C470" t="str">
            <v>拼多多</v>
          </cell>
        </row>
        <row r="471">
          <cell r="B471" t="str">
            <v>深港在线</v>
          </cell>
          <cell r="C471" t="str">
            <v>深港在线</v>
          </cell>
        </row>
        <row r="472">
          <cell r="B472" t="str">
            <v>浩御传媒</v>
          </cell>
          <cell r="C472" t="str">
            <v>浩御传媒</v>
          </cell>
        </row>
        <row r="473">
          <cell r="B473" t="str">
            <v>历趣</v>
          </cell>
          <cell r="C473" t="str">
            <v>历趣</v>
          </cell>
        </row>
        <row r="474">
          <cell r="B474" t="str">
            <v>中国贸易金融网</v>
          </cell>
          <cell r="C474" t="str">
            <v>中国贸易金融网</v>
          </cell>
        </row>
        <row r="475">
          <cell r="B475" t="str">
            <v>中国大学慕课</v>
          </cell>
          <cell r="C475" t="str">
            <v>中国大学慕课</v>
          </cell>
        </row>
        <row r="476">
          <cell r="B476" t="str">
            <v>VOGUE时尚网</v>
          </cell>
          <cell r="C476" t="str">
            <v>VOGUE时尚网</v>
          </cell>
        </row>
        <row r="477">
          <cell r="B477" t="str">
            <v>微医</v>
          </cell>
          <cell r="C477" t="str">
            <v>微医</v>
          </cell>
        </row>
        <row r="478">
          <cell r="B478" t="str">
            <v>寰智博DSP</v>
          </cell>
          <cell r="C478" t="str">
            <v>寰智博DSP</v>
          </cell>
        </row>
        <row r="479">
          <cell r="B479" t="str">
            <v>中国汽车消费网</v>
          </cell>
          <cell r="C479" t="str">
            <v>中国汽车消费网</v>
          </cell>
        </row>
        <row r="480">
          <cell r="B480" t="str">
            <v>网易公开课</v>
          </cell>
          <cell r="C480" t="str">
            <v>网易公开课</v>
          </cell>
        </row>
        <row r="481">
          <cell r="B481" t="str">
            <v>企鹅电竞</v>
          </cell>
          <cell r="C481" t="str">
            <v>企鹅电竞</v>
          </cell>
        </row>
        <row r="482">
          <cell r="B482" t="str">
            <v>Merkury</v>
          </cell>
          <cell r="C482" t="str">
            <v>Merkury</v>
          </cell>
        </row>
        <row r="483">
          <cell r="B483" t="str">
            <v>懒人听书</v>
          </cell>
          <cell r="C483" t="str">
            <v>懒人听书</v>
          </cell>
        </row>
        <row r="484">
          <cell r="B484" t="str">
            <v>悦己</v>
          </cell>
          <cell r="C484" t="str">
            <v>悦己</v>
          </cell>
        </row>
        <row r="485">
          <cell r="B485" t="str">
            <v>第一网吧传媒</v>
          </cell>
          <cell r="C485" t="str">
            <v>第一网吧传媒</v>
          </cell>
        </row>
        <row r="486">
          <cell r="B486" t="str">
            <v>万维家电网</v>
          </cell>
          <cell r="C486" t="str">
            <v>万维家电网</v>
          </cell>
        </row>
        <row r="487">
          <cell r="B487" t="str">
            <v>techweb</v>
          </cell>
          <cell r="C487" t="str">
            <v>techweb</v>
          </cell>
        </row>
        <row r="488">
          <cell r="B488" t="str">
            <v>东方网</v>
          </cell>
          <cell r="C488" t="str">
            <v>东方网</v>
          </cell>
        </row>
        <row r="489">
          <cell r="B489" t="str">
            <v>琅琊新闻网</v>
          </cell>
          <cell r="C489" t="str">
            <v>琅琊新闻网</v>
          </cell>
        </row>
        <row r="490">
          <cell r="B490" t="str">
            <v>聚告</v>
          </cell>
          <cell r="C490" t="str">
            <v>聚告</v>
          </cell>
        </row>
        <row r="491">
          <cell r="B491" t="str">
            <v>南方航空</v>
          </cell>
          <cell r="C491" t="str">
            <v>南方航空</v>
          </cell>
        </row>
        <row r="492">
          <cell r="B492" t="str">
            <v>叮咚买菜</v>
          </cell>
          <cell r="C492" t="str">
            <v>叮咚买菜</v>
          </cell>
        </row>
        <row r="493">
          <cell r="B493" t="str">
            <v>品味</v>
          </cell>
          <cell r="C493" t="str">
            <v>品味</v>
          </cell>
        </row>
        <row r="494">
          <cell r="B494" t="str">
            <v>浙江在线</v>
          </cell>
          <cell r="C494" t="str">
            <v>浙江在线</v>
          </cell>
        </row>
        <row r="495">
          <cell r="B495" t="str">
            <v>通信信息产业网</v>
          </cell>
          <cell r="C495" t="str">
            <v>通信信息产业网</v>
          </cell>
        </row>
        <row r="496">
          <cell r="B496" t="str">
            <v>新西兰航空</v>
          </cell>
          <cell r="C496" t="str">
            <v>新西兰航空</v>
          </cell>
        </row>
        <row r="497">
          <cell r="B497" t="str">
            <v>新疆网</v>
          </cell>
          <cell r="C497" t="str">
            <v>新疆网</v>
          </cell>
        </row>
        <row r="498">
          <cell r="B498" t="str">
            <v>长虹智能电视</v>
          </cell>
          <cell r="C498" t="str">
            <v>长虹智能电视</v>
          </cell>
        </row>
        <row r="499">
          <cell r="B499" t="str">
            <v>银联在线</v>
          </cell>
          <cell r="C499" t="str">
            <v>银联在线</v>
          </cell>
        </row>
        <row r="500">
          <cell r="B500" t="str">
            <v>造车网</v>
          </cell>
          <cell r="C500" t="str">
            <v>造车网</v>
          </cell>
        </row>
        <row r="501">
          <cell r="B501" t="str">
            <v>高古楼站</v>
          </cell>
          <cell r="C501" t="str">
            <v>高古楼站</v>
          </cell>
        </row>
        <row r="502">
          <cell r="B502" t="str">
            <v>课程格子</v>
          </cell>
          <cell r="C502" t="str">
            <v>课程格子</v>
          </cell>
        </row>
        <row r="503">
          <cell r="B503" t="str">
            <v>游民星空</v>
          </cell>
          <cell r="C503" t="str">
            <v>游民星空</v>
          </cell>
        </row>
        <row r="504">
          <cell r="B504" t="str">
            <v>同花顺</v>
          </cell>
          <cell r="C504" t="str">
            <v>同花顺</v>
          </cell>
        </row>
        <row r="505">
          <cell r="B505" t="str">
            <v>新浪汽车网</v>
          </cell>
          <cell r="C505" t="str">
            <v>新浪汽车网</v>
          </cell>
        </row>
        <row r="506">
          <cell r="B506" t="str">
            <v>极客公园</v>
          </cell>
          <cell r="C506" t="str">
            <v>极客公园</v>
          </cell>
        </row>
        <row r="507">
          <cell r="B507" t="str">
            <v>泛为DSP</v>
          </cell>
          <cell r="C507" t="str">
            <v>泛为DSP</v>
          </cell>
        </row>
        <row r="508">
          <cell r="B508" t="str">
            <v>海报网</v>
          </cell>
          <cell r="C508" t="str">
            <v>海报网</v>
          </cell>
        </row>
        <row r="509">
          <cell r="B509" t="str">
            <v>春雨医生</v>
          </cell>
          <cell r="C509" t="str">
            <v>春雨医生</v>
          </cell>
        </row>
        <row r="510">
          <cell r="B510" t="str">
            <v>优量汇</v>
          </cell>
          <cell r="C510" t="str">
            <v>优量汇</v>
          </cell>
        </row>
        <row r="511">
          <cell r="B511" t="str">
            <v>京准通</v>
          </cell>
          <cell r="C511" t="str">
            <v>京准通</v>
          </cell>
        </row>
        <row r="512">
          <cell r="B512" t="str">
            <v>科大讯飞DSP</v>
          </cell>
          <cell r="C512" t="str">
            <v>科大讯飞DSP</v>
          </cell>
        </row>
        <row r="513">
          <cell r="B513" t="str">
            <v>萤石云视频</v>
          </cell>
          <cell r="C513" t="str">
            <v>萤石云视频</v>
          </cell>
        </row>
        <row r="514">
          <cell r="B514" t="str">
            <v>壹号</v>
          </cell>
          <cell r="C514" t="str">
            <v>壹号</v>
          </cell>
        </row>
        <row r="515">
          <cell r="B515" t="str">
            <v>荣耀西安论坛</v>
          </cell>
          <cell r="C515" t="str">
            <v>荣耀西安论坛</v>
          </cell>
        </row>
        <row r="516">
          <cell r="B516" t="str">
            <v>Flyme-历史媒体慎用</v>
          </cell>
          <cell r="C516" t="str">
            <v>Flyme-历史媒体慎用</v>
          </cell>
        </row>
        <row r="517">
          <cell r="B517" t="str">
            <v>SegmentFault</v>
          </cell>
          <cell r="C517" t="str">
            <v>SegmentFault</v>
          </cell>
        </row>
        <row r="518">
          <cell r="B518" t="str">
            <v>Feel</v>
          </cell>
          <cell r="C518" t="str">
            <v>Feel</v>
          </cell>
        </row>
        <row r="519">
          <cell r="B519" t="str">
            <v>安纳特</v>
          </cell>
          <cell r="C519" t="str">
            <v>安纳特</v>
          </cell>
        </row>
        <row r="520">
          <cell r="B520" t="str">
            <v>东方圣城网</v>
          </cell>
          <cell r="C520" t="str">
            <v>东方圣城网</v>
          </cell>
        </row>
        <row r="521">
          <cell r="B521" t="str">
            <v>百车网</v>
          </cell>
          <cell r="C521" t="str">
            <v>百车网</v>
          </cell>
        </row>
        <row r="522">
          <cell r="B522" t="str">
            <v>粉丝通</v>
          </cell>
          <cell r="C522" t="str">
            <v>粉丝通</v>
          </cell>
        </row>
        <row r="523">
          <cell r="B523" t="str">
            <v>Z视介</v>
          </cell>
          <cell r="C523" t="str">
            <v>Z视介</v>
          </cell>
        </row>
        <row r="524">
          <cell r="B524" t="str">
            <v>小米画报</v>
          </cell>
          <cell r="C524" t="str">
            <v>小米画报</v>
          </cell>
        </row>
        <row r="525">
          <cell r="B525" t="str">
            <v>米读小说</v>
          </cell>
          <cell r="C525" t="str">
            <v>米读小说</v>
          </cell>
        </row>
        <row r="526">
          <cell r="B526" t="str">
            <v>平安好车主</v>
          </cell>
          <cell r="C526" t="str">
            <v>平安好车主</v>
          </cell>
        </row>
        <row r="527">
          <cell r="B527" t="str">
            <v>Assemblage</v>
          </cell>
          <cell r="C527" t="str">
            <v>Assemblage</v>
          </cell>
        </row>
        <row r="528">
          <cell r="B528" t="str">
            <v>福建之窗</v>
          </cell>
          <cell r="C528" t="str">
            <v>福建之窗</v>
          </cell>
        </row>
        <row r="529">
          <cell r="B529" t="str">
            <v>CCTV</v>
          </cell>
          <cell r="C529" t="str">
            <v>CCTV</v>
          </cell>
        </row>
        <row r="530">
          <cell r="B530" t="str">
            <v>有车以后</v>
          </cell>
          <cell r="C530" t="str">
            <v>有车以后</v>
          </cell>
        </row>
        <row r="531">
          <cell r="B531" t="str">
            <v>信网</v>
          </cell>
          <cell r="C531" t="str">
            <v>信网</v>
          </cell>
        </row>
        <row r="532">
          <cell r="B532" t="str">
            <v>智能电视</v>
          </cell>
          <cell r="C532" t="str">
            <v>智能电视</v>
          </cell>
        </row>
        <row r="533">
          <cell r="B533" t="str">
            <v>吉和网</v>
          </cell>
          <cell r="C533" t="str">
            <v>吉和网</v>
          </cell>
        </row>
        <row r="534">
          <cell r="B534" t="str">
            <v>Accuen</v>
          </cell>
          <cell r="C534" t="str">
            <v>Accuen</v>
          </cell>
        </row>
        <row r="535">
          <cell r="B535" t="str">
            <v>青网</v>
          </cell>
          <cell r="C535" t="str">
            <v>青网</v>
          </cell>
        </row>
        <row r="536">
          <cell r="B536" t="str">
            <v>one·一个</v>
          </cell>
          <cell r="C536" t="str">
            <v>one·一个</v>
          </cell>
        </row>
        <row r="537">
          <cell r="B537" t="str">
            <v>蘑菇街</v>
          </cell>
          <cell r="C537" t="str">
            <v>蘑菇街</v>
          </cell>
        </row>
        <row r="538">
          <cell r="B538" t="str">
            <v>宝宝记</v>
          </cell>
          <cell r="C538" t="str">
            <v>宝宝记</v>
          </cell>
        </row>
        <row r="539">
          <cell r="B539" t="str">
            <v>万年历</v>
          </cell>
          <cell r="C539" t="str">
            <v>万年历</v>
          </cell>
        </row>
        <row r="540">
          <cell r="B540" t="str">
            <v>电科技</v>
          </cell>
          <cell r="C540" t="str">
            <v>电科技</v>
          </cell>
        </row>
        <row r="541">
          <cell r="B541" t="str">
            <v>网上厨房</v>
          </cell>
          <cell r="C541" t="str">
            <v>网上厨房</v>
          </cell>
        </row>
        <row r="542">
          <cell r="B542" t="str">
            <v>1905电影网</v>
          </cell>
          <cell r="C542" t="str">
            <v>1905电影网</v>
          </cell>
        </row>
        <row r="543">
          <cell r="B543" t="str">
            <v>凤凰汽车网</v>
          </cell>
          <cell r="C543" t="str">
            <v>凤凰汽车网</v>
          </cell>
        </row>
        <row r="544">
          <cell r="B544" t="str">
            <v>中国工业设计网</v>
          </cell>
          <cell r="C544" t="str">
            <v>中国工业设计网</v>
          </cell>
        </row>
        <row r="545">
          <cell r="B545" t="str">
            <v>中国徐州民生网</v>
          </cell>
          <cell r="C545" t="str">
            <v>中国徐州民生网</v>
          </cell>
        </row>
        <row r="546">
          <cell r="B546" t="str">
            <v>快影</v>
          </cell>
          <cell r="C546" t="str">
            <v>快影</v>
          </cell>
        </row>
        <row r="547">
          <cell r="B547" t="str">
            <v>百度知道</v>
          </cell>
          <cell r="C547" t="str">
            <v>百度知道</v>
          </cell>
        </row>
        <row r="548">
          <cell r="B548" t="str">
            <v>百度新闻</v>
          </cell>
          <cell r="C548" t="str">
            <v>百度新闻</v>
          </cell>
        </row>
        <row r="549">
          <cell r="B549" t="str">
            <v>怪兽充电</v>
          </cell>
          <cell r="C549" t="str">
            <v>怪兽充电</v>
          </cell>
        </row>
        <row r="550">
          <cell r="B550" t="str">
            <v>抖音极速版</v>
          </cell>
          <cell r="C550" t="str">
            <v>抖音极速版</v>
          </cell>
        </row>
        <row r="551">
          <cell r="B551" t="str">
            <v>VIVA畅读</v>
          </cell>
          <cell r="C551" t="str">
            <v>VIVA畅读</v>
          </cell>
        </row>
        <row r="552">
          <cell r="B552" t="str">
            <v>小黑盒</v>
          </cell>
          <cell r="C552" t="str">
            <v>小黑盒</v>
          </cell>
        </row>
        <row r="553">
          <cell r="B553" t="str">
            <v>E旅行</v>
          </cell>
          <cell r="C553" t="str">
            <v>E旅行</v>
          </cell>
        </row>
        <row r="554">
          <cell r="B554" t="str">
            <v>泡泡网</v>
          </cell>
          <cell r="C554" t="str">
            <v>泡泡网</v>
          </cell>
        </row>
        <row r="555">
          <cell r="B555" t="str">
            <v>每日经济新闻</v>
          </cell>
          <cell r="C555" t="str">
            <v>每日经济新闻</v>
          </cell>
        </row>
        <row r="556">
          <cell r="B556" t="str">
            <v>新浪视频</v>
          </cell>
          <cell r="C556" t="str">
            <v>新浪视频</v>
          </cell>
        </row>
        <row r="557">
          <cell r="B557" t="str">
            <v>数聚合力</v>
          </cell>
          <cell r="C557" t="str">
            <v>数聚合力</v>
          </cell>
        </row>
        <row r="558">
          <cell r="B558" t="str">
            <v>潍坊大众网</v>
          </cell>
          <cell r="C558" t="str">
            <v>潍坊大众网</v>
          </cell>
        </row>
        <row r="559">
          <cell r="B559" t="str">
            <v>派瑞-历史媒体慎用</v>
          </cell>
          <cell r="C559" t="str">
            <v>派瑞-历史媒体慎用</v>
          </cell>
        </row>
        <row r="560">
          <cell r="B560" t="str">
            <v>易扬</v>
          </cell>
          <cell r="C560" t="str">
            <v>易扬</v>
          </cell>
        </row>
        <row r="561">
          <cell r="B561" t="str">
            <v>易游</v>
          </cell>
          <cell r="C561" t="str">
            <v>易游</v>
          </cell>
        </row>
        <row r="562">
          <cell r="B562" t="str">
            <v>贝乐虎</v>
          </cell>
          <cell r="C562" t="str">
            <v>贝乐虎</v>
          </cell>
        </row>
        <row r="563">
          <cell r="B563" t="str">
            <v>跑吧</v>
          </cell>
          <cell r="C563" t="str">
            <v>跑吧</v>
          </cell>
        </row>
        <row r="564">
          <cell r="B564" t="str">
            <v>CUE交友</v>
          </cell>
          <cell r="C564" t="str">
            <v>CUE交友</v>
          </cell>
        </row>
        <row r="565">
          <cell r="B565" t="str">
            <v>阿里汇川</v>
          </cell>
          <cell r="C565" t="str">
            <v>阿里汇川</v>
          </cell>
        </row>
        <row r="566">
          <cell r="B566" t="str">
            <v>51.la</v>
          </cell>
          <cell r="C566" t="str">
            <v>51.la</v>
          </cell>
        </row>
        <row r="567">
          <cell r="B567" t="str">
            <v>奶牛快传</v>
          </cell>
          <cell r="C567" t="str">
            <v>奶牛快传</v>
          </cell>
        </row>
        <row r="568">
          <cell r="B568" t="str">
            <v>Smartshanghai</v>
          </cell>
          <cell r="C568" t="str">
            <v>Smartshanghai</v>
          </cell>
        </row>
        <row r="569">
          <cell r="B569" t="str">
            <v>绍兴在线</v>
          </cell>
          <cell r="C569" t="str">
            <v>绍兴在线</v>
          </cell>
        </row>
        <row r="570">
          <cell r="B570" t="str">
            <v>央视网</v>
          </cell>
          <cell r="C570" t="str">
            <v>央视网</v>
          </cell>
        </row>
        <row r="571">
          <cell r="B571" t="str">
            <v>大西北网</v>
          </cell>
          <cell r="C571" t="str">
            <v>大西北网</v>
          </cell>
        </row>
        <row r="572">
          <cell r="B572" t="str">
            <v>雪球</v>
          </cell>
          <cell r="C572" t="str">
            <v>雪球</v>
          </cell>
        </row>
        <row r="573">
          <cell r="B573" t="str">
            <v>苍南网</v>
          </cell>
          <cell r="C573" t="str">
            <v>苍南网</v>
          </cell>
        </row>
        <row r="574">
          <cell r="B574" t="str">
            <v>花椒</v>
          </cell>
          <cell r="C574" t="str">
            <v>花椒</v>
          </cell>
        </row>
        <row r="575">
          <cell r="B575" t="str">
            <v>花瓣网</v>
          </cell>
          <cell r="C575" t="str">
            <v>花瓣网</v>
          </cell>
        </row>
        <row r="576">
          <cell r="B576" t="str">
            <v>21世纪经济报道</v>
          </cell>
          <cell r="C576" t="str">
            <v>21世纪经济报道</v>
          </cell>
        </row>
        <row r="577">
          <cell r="B577" t="str">
            <v>掌通家园</v>
          </cell>
          <cell r="C577" t="str">
            <v>掌通家园</v>
          </cell>
        </row>
        <row r="578">
          <cell r="B578" t="str">
            <v>易博</v>
          </cell>
          <cell r="C578" t="str">
            <v>易博</v>
          </cell>
        </row>
        <row r="579">
          <cell r="B579" t="str">
            <v>发车科技</v>
          </cell>
          <cell r="C579" t="str">
            <v>发车科技</v>
          </cell>
        </row>
        <row r="580">
          <cell r="B580" t="str">
            <v>泰安网</v>
          </cell>
          <cell r="C580" t="str">
            <v>泰安网</v>
          </cell>
        </row>
        <row r="581">
          <cell r="B581" t="str">
            <v>中国电子报</v>
          </cell>
          <cell r="C581" t="str">
            <v>中国电子报</v>
          </cell>
        </row>
        <row r="582">
          <cell r="B582" t="str">
            <v>惠买车</v>
          </cell>
          <cell r="C582" t="str">
            <v>惠买车</v>
          </cell>
        </row>
        <row r="583">
          <cell r="B583" t="str">
            <v>亿欧网</v>
          </cell>
          <cell r="C583" t="str">
            <v>亿欧网</v>
          </cell>
        </row>
        <row r="584">
          <cell r="B584" t="str">
            <v>濠滨论坛</v>
          </cell>
          <cell r="C584" t="str">
            <v>濠滨论坛</v>
          </cell>
        </row>
        <row r="585">
          <cell r="B585" t="str">
            <v>太平洋网络</v>
          </cell>
          <cell r="C585" t="str">
            <v>太平洋网络</v>
          </cell>
        </row>
        <row r="586">
          <cell r="B586" t="str">
            <v>莆仙网</v>
          </cell>
          <cell r="C586" t="str">
            <v>莆仙网</v>
          </cell>
        </row>
        <row r="587">
          <cell r="B587" t="str">
            <v>大夏网</v>
          </cell>
          <cell r="C587" t="str">
            <v>大夏网</v>
          </cell>
        </row>
        <row r="588">
          <cell r="B588" t="str">
            <v>康佳智能电视</v>
          </cell>
          <cell r="C588" t="str">
            <v>康佳智能电视</v>
          </cell>
        </row>
        <row r="589">
          <cell r="B589" t="str">
            <v>得间小说</v>
          </cell>
          <cell r="C589" t="str">
            <v>得间小说</v>
          </cell>
        </row>
        <row r="590">
          <cell r="B590" t="str">
            <v>得物</v>
          </cell>
          <cell r="C590" t="str">
            <v>得物</v>
          </cell>
        </row>
        <row r="591">
          <cell r="B591" t="str">
            <v>平安健康</v>
          </cell>
          <cell r="C591" t="str">
            <v>平安健康</v>
          </cell>
        </row>
        <row r="592">
          <cell r="B592" t="str">
            <v>芒果聚合</v>
          </cell>
          <cell r="C592" t="str">
            <v>芒果聚合</v>
          </cell>
        </row>
        <row r="593">
          <cell r="B593" t="str">
            <v>黄油相机</v>
          </cell>
          <cell r="C593" t="str">
            <v>黄油相机</v>
          </cell>
        </row>
        <row r="594">
          <cell r="B594" t="str">
            <v>青桔单车</v>
          </cell>
          <cell r="C594" t="str">
            <v>青桔单车</v>
          </cell>
        </row>
        <row r="595">
          <cell r="B595" t="str">
            <v>蓝标DSP</v>
          </cell>
          <cell r="C595" t="str">
            <v>蓝标DSP</v>
          </cell>
        </row>
        <row r="596">
          <cell r="B596" t="str">
            <v>NOWNESS</v>
          </cell>
          <cell r="C596" t="str">
            <v>NOWNESS</v>
          </cell>
        </row>
        <row r="597">
          <cell r="B597" t="str">
            <v>GQ男士网</v>
          </cell>
          <cell r="C597" t="str">
            <v>GQ男士网</v>
          </cell>
        </row>
        <row r="598">
          <cell r="B598" t="str">
            <v>虎嗅网</v>
          </cell>
          <cell r="C598" t="str">
            <v>虎嗅网</v>
          </cell>
        </row>
        <row r="599">
          <cell r="B599" t="str">
            <v>一甜相机</v>
          </cell>
          <cell r="C599" t="str">
            <v>一甜相机</v>
          </cell>
        </row>
        <row r="600">
          <cell r="B600" t="str">
            <v>沈阳网</v>
          </cell>
          <cell r="C600" t="str">
            <v>沈阳网</v>
          </cell>
        </row>
        <row r="601">
          <cell r="B601" t="str">
            <v>浙江车市网</v>
          </cell>
          <cell r="C601" t="str">
            <v>浙江车市网</v>
          </cell>
        </row>
        <row r="602">
          <cell r="B602" t="str">
            <v>Cosmose</v>
          </cell>
          <cell r="C602" t="str">
            <v>Cosmose</v>
          </cell>
        </row>
        <row r="603">
          <cell r="B603" t="str">
            <v>车旺大卡</v>
          </cell>
          <cell r="C603" t="str">
            <v>车旺大卡</v>
          </cell>
        </row>
        <row r="604">
          <cell r="B604" t="str">
            <v>360浏览器</v>
          </cell>
          <cell r="C604" t="str">
            <v>360浏览器</v>
          </cell>
        </row>
        <row r="605">
          <cell r="B605" t="str">
            <v>233乐园</v>
          </cell>
          <cell r="C605" t="str">
            <v>233乐园</v>
          </cell>
        </row>
        <row r="606">
          <cell r="B606" t="str">
            <v>Capper</v>
          </cell>
          <cell r="C606" t="str">
            <v>Capper</v>
          </cell>
        </row>
        <row r="607">
          <cell r="B607" t="str">
            <v>酷划</v>
          </cell>
          <cell r="C607" t="str">
            <v>酷划</v>
          </cell>
        </row>
        <row r="608">
          <cell r="B608" t="str">
            <v>Tom</v>
          </cell>
          <cell r="C608" t="str">
            <v>Tom</v>
          </cell>
        </row>
        <row r="609">
          <cell r="B609" t="str">
            <v>OPPO视频</v>
          </cell>
          <cell r="C609" t="str">
            <v>OPPO视频</v>
          </cell>
        </row>
        <row r="610">
          <cell r="B610" t="str">
            <v>MIUI系统</v>
          </cell>
          <cell r="C610" t="str">
            <v>MIUI系统</v>
          </cell>
        </row>
        <row r="611">
          <cell r="B611" t="str">
            <v>Intel</v>
          </cell>
          <cell r="C611" t="str">
            <v>Intel</v>
          </cell>
        </row>
        <row r="612">
          <cell r="B612" t="str">
            <v>青岛大众网</v>
          </cell>
          <cell r="C612" t="str">
            <v>青岛大众网</v>
          </cell>
        </row>
        <row r="613">
          <cell r="B613" t="str">
            <v>安居客</v>
          </cell>
          <cell r="C613" t="str">
            <v>安居客</v>
          </cell>
        </row>
        <row r="614">
          <cell r="B614" t="str">
            <v>触电新闻</v>
          </cell>
          <cell r="C614" t="str">
            <v>触电新闻</v>
          </cell>
        </row>
        <row r="615">
          <cell r="B615" t="str">
            <v>好看APP</v>
          </cell>
          <cell r="C615" t="str">
            <v>好看APP</v>
          </cell>
        </row>
        <row r="616">
          <cell r="B616" t="str">
            <v>美食杰</v>
          </cell>
          <cell r="C616" t="str">
            <v>美食杰</v>
          </cell>
        </row>
        <row r="617">
          <cell r="B617" t="str">
            <v>航班纵横</v>
          </cell>
          <cell r="C617" t="str">
            <v>航班纵横</v>
          </cell>
        </row>
        <row r="618">
          <cell r="B618" t="str">
            <v>电脑之家</v>
          </cell>
          <cell r="C618" t="str">
            <v>电脑之家</v>
          </cell>
        </row>
        <row r="619">
          <cell r="B619" t="str">
            <v>牛车网</v>
          </cell>
          <cell r="C619" t="str">
            <v>牛车网</v>
          </cell>
        </row>
        <row r="620">
          <cell r="B620" t="str">
            <v>飞利浦智能电视</v>
          </cell>
          <cell r="C620" t="str">
            <v>飞利浦智能电视</v>
          </cell>
        </row>
        <row r="621">
          <cell r="B621" t="str">
            <v>国铁吉讯</v>
          </cell>
          <cell r="C621" t="str">
            <v>国铁吉讯</v>
          </cell>
        </row>
        <row r="622">
          <cell r="B622" t="str">
            <v>多彩贵州网</v>
          </cell>
          <cell r="C622" t="str">
            <v>多彩贵州网</v>
          </cell>
        </row>
        <row r="623">
          <cell r="B623" t="str">
            <v>耀出行</v>
          </cell>
          <cell r="C623" t="str">
            <v>耀出行</v>
          </cell>
        </row>
        <row r="624">
          <cell r="B624" t="str">
            <v>iColor</v>
          </cell>
          <cell r="C624" t="str">
            <v>iColor</v>
          </cell>
        </row>
        <row r="625">
          <cell r="B625" t="str">
            <v>YY直播</v>
          </cell>
          <cell r="C625" t="str">
            <v>YY直播</v>
          </cell>
        </row>
        <row r="626">
          <cell r="B626" t="str">
            <v>小米天气</v>
          </cell>
          <cell r="C626" t="str">
            <v>小米天气</v>
          </cell>
        </row>
        <row r="627">
          <cell r="B627" t="str">
            <v>爱美网</v>
          </cell>
          <cell r="C627" t="str">
            <v>爱美网</v>
          </cell>
        </row>
        <row r="628">
          <cell r="B628" t="str">
            <v>乐点生活</v>
          </cell>
          <cell r="C628" t="str">
            <v>乐点生活</v>
          </cell>
        </row>
        <row r="629">
          <cell r="B629" t="str">
            <v>平湖在线</v>
          </cell>
          <cell r="C629" t="str">
            <v>平湖在线</v>
          </cell>
        </row>
        <row r="630">
          <cell r="B630" t="str">
            <v>当贝网</v>
          </cell>
          <cell r="C630" t="str">
            <v>当贝网</v>
          </cell>
        </row>
        <row r="631">
          <cell r="B631" t="str">
            <v>糖豆</v>
          </cell>
          <cell r="C631" t="str">
            <v>糖豆</v>
          </cell>
        </row>
        <row r="632">
          <cell r="B632" t="str">
            <v>邑智</v>
          </cell>
          <cell r="C632" t="str">
            <v>邑智</v>
          </cell>
        </row>
        <row r="633">
          <cell r="B633" t="str">
            <v>创维智能电视</v>
          </cell>
          <cell r="C633" t="str">
            <v>创维智能电视</v>
          </cell>
        </row>
        <row r="634">
          <cell r="B634" t="str">
            <v>力美</v>
          </cell>
          <cell r="C634" t="str">
            <v>力美</v>
          </cell>
        </row>
        <row r="635">
          <cell r="B635" t="str">
            <v>Xtrader</v>
          </cell>
          <cell r="C635" t="str">
            <v>Xtrader</v>
          </cell>
        </row>
        <row r="636">
          <cell r="B636" t="str">
            <v>中宏网</v>
          </cell>
          <cell r="C636" t="str">
            <v>中宏网</v>
          </cell>
        </row>
        <row r="637">
          <cell r="B637" t="str">
            <v>中国移动魔百盒</v>
          </cell>
          <cell r="C637" t="str">
            <v>中国移动魔百盒</v>
          </cell>
        </row>
        <row r="638">
          <cell r="B638" t="str">
            <v>中国房地产金融网</v>
          </cell>
          <cell r="C638" t="str">
            <v>中国房地产金融网</v>
          </cell>
        </row>
        <row r="639">
          <cell r="B639" t="str">
            <v>潍坊新闻网</v>
          </cell>
          <cell r="C639" t="str">
            <v>潍坊新闻网</v>
          </cell>
        </row>
        <row r="640">
          <cell r="B640" t="str">
            <v>招商银行</v>
          </cell>
          <cell r="C640" t="str">
            <v>招商银行</v>
          </cell>
        </row>
        <row r="641">
          <cell r="B641" t="str">
            <v>水母网</v>
          </cell>
          <cell r="C641" t="str">
            <v>水母网</v>
          </cell>
        </row>
        <row r="642">
          <cell r="B642" t="str">
            <v>传漾</v>
          </cell>
          <cell r="C642" t="str">
            <v>传漾</v>
          </cell>
        </row>
        <row r="643">
          <cell r="B643" t="str">
            <v>最右</v>
          </cell>
          <cell r="C643" t="str">
            <v>最右</v>
          </cell>
        </row>
        <row r="644">
          <cell r="B644" t="str">
            <v>每日壁纸杂志</v>
          </cell>
          <cell r="C644" t="str">
            <v>每日壁纸杂志</v>
          </cell>
        </row>
        <row r="645">
          <cell r="B645" t="str">
            <v>每日优车</v>
          </cell>
          <cell r="C645" t="str">
            <v>每日优车</v>
          </cell>
        </row>
        <row r="646">
          <cell r="B646" t="str">
            <v>数聚互通DSP</v>
          </cell>
          <cell r="C646" t="str">
            <v>数聚互通DSP</v>
          </cell>
        </row>
        <row r="647">
          <cell r="B647" t="str">
            <v>波点音乐</v>
          </cell>
          <cell r="C647" t="str">
            <v>波点音乐</v>
          </cell>
        </row>
        <row r="648">
          <cell r="B648" t="str">
            <v>车关注</v>
          </cell>
          <cell r="C648" t="str">
            <v>车关注</v>
          </cell>
        </row>
        <row r="649">
          <cell r="B649" t="str">
            <v>钛媒体</v>
          </cell>
          <cell r="C649" t="str">
            <v>钛媒体</v>
          </cell>
        </row>
        <row r="650">
          <cell r="B650" t="str">
            <v>魅族浏览器</v>
          </cell>
          <cell r="C650" t="str">
            <v>魅族浏览器</v>
          </cell>
        </row>
        <row r="651">
          <cell r="B651" t="str">
            <v>邑通-历史媒体慎用</v>
          </cell>
          <cell r="C651" t="str">
            <v>邑通-历史媒体慎用</v>
          </cell>
        </row>
        <row r="652">
          <cell r="B652" t="str">
            <v>Cadreon</v>
          </cell>
          <cell r="C652" t="str">
            <v>Cadreon</v>
          </cell>
        </row>
        <row r="653">
          <cell r="B653" t="str">
            <v>邑道</v>
          </cell>
          <cell r="C653" t="str">
            <v>邑道</v>
          </cell>
        </row>
        <row r="654">
          <cell r="B654" t="str">
            <v>2345影视大全</v>
          </cell>
          <cell r="C654" t="str">
            <v>2345影视大全</v>
          </cell>
        </row>
        <row r="655">
          <cell r="B655" t="str">
            <v>99手游加速器</v>
          </cell>
          <cell r="C655" t="str">
            <v>99手游加速器</v>
          </cell>
        </row>
        <row r="656">
          <cell r="B656" t="str">
            <v>CSDN</v>
          </cell>
          <cell r="C656" t="str">
            <v>CSDN</v>
          </cell>
        </row>
        <row r="657">
          <cell r="B657" t="str">
            <v>车云网</v>
          </cell>
          <cell r="C657" t="str">
            <v>车云网</v>
          </cell>
        </row>
        <row r="658">
          <cell r="B658" t="str">
            <v>财新周刊</v>
          </cell>
          <cell r="C658" t="str">
            <v>财新周刊</v>
          </cell>
        </row>
        <row r="659">
          <cell r="B659" t="str">
            <v>超信</v>
          </cell>
          <cell r="C659" t="str">
            <v>超信</v>
          </cell>
        </row>
        <row r="660">
          <cell r="B660" t="str">
            <v>Dtinsight</v>
          </cell>
          <cell r="C660" t="str">
            <v>Dtinsight</v>
          </cell>
        </row>
        <row r="661">
          <cell r="B661" t="str">
            <v>闺蜜网</v>
          </cell>
          <cell r="C661" t="str">
            <v>闺蜜网</v>
          </cell>
        </row>
        <row r="662">
          <cell r="B662" t="str">
            <v>阅美</v>
          </cell>
          <cell r="C662" t="str">
            <v>阅美</v>
          </cell>
        </row>
        <row r="663">
          <cell r="B663" t="str">
            <v>阳狮广告</v>
          </cell>
          <cell r="C663" t="str">
            <v>阳狮广告</v>
          </cell>
        </row>
        <row r="664">
          <cell r="B664" t="str">
            <v>口碑家电网</v>
          </cell>
          <cell r="C664" t="str">
            <v>口碑家电网</v>
          </cell>
        </row>
        <row r="665">
          <cell r="B665" t="str">
            <v>辅快科技</v>
          </cell>
          <cell r="C665" t="str">
            <v>辅快科技</v>
          </cell>
        </row>
        <row r="666">
          <cell r="B666" t="str">
            <v>车轮查违章</v>
          </cell>
          <cell r="C666" t="str">
            <v>车轮查违章</v>
          </cell>
        </row>
        <row r="667">
          <cell r="B667" t="str">
            <v>飞拓无限</v>
          </cell>
          <cell r="C667" t="str">
            <v>飞拓无限</v>
          </cell>
        </row>
        <row r="668">
          <cell r="B668" t="str">
            <v>驾考宝典</v>
          </cell>
          <cell r="C668" t="str">
            <v>驾考宝典</v>
          </cell>
        </row>
        <row r="669">
          <cell r="B669" t="str">
            <v>19楼</v>
          </cell>
          <cell r="C669" t="str">
            <v>19楼</v>
          </cell>
        </row>
        <row r="670">
          <cell r="B670" t="str">
            <v>魅族手机-历史媒体慎用</v>
          </cell>
          <cell r="C670" t="str">
            <v>魅族手机-历史媒体慎用</v>
          </cell>
        </row>
        <row r="671">
          <cell r="B671" t="str">
            <v>17汽车网</v>
          </cell>
          <cell r="C671" t="str">
            <v>17汽车网</v>
          </cell>
        </row>
        <row r="672">
          <cell r="B672" t="str">
            <v>消费电子实验室</v>
          </cell>
          <cell r="C672" t="str">
            <v>消费电子实验室</v>
          </cell>
        </row>
        <row r="673">
          <cell r="B673" t="str">
            <v>深圳热线</v>
          </cell>
          <cell r="C673" t="str">
            <v>深圳热线</v>
          </cell>
        </row>
        <row r="674">
          <cell r="B674" t="str">
            <v>海报新闻</v>
          </cell>
          <cell r="C674" t="str">
            <v>海报新闻</v>
          </cell>
        </row>
        <row r="675">
          <cell r="B675" t="str">
            <v>消费指南网</v>
          </cell>
          <cell r="C675" t="str">
            <v>消费指南网</v>
          </cell>
        </row>
        <row r="676">
          <cell r="B676" t="str">
            <v>海事网</v>
          </cell>
          <cell r="C676" t="str">
            <v>海事网</v>
          </cell>
        </row>
        <row r="677">
          <cell r="B677" t="str">
            <v>洛阳汽车网</v>
          </cell>
          <cell r="C677" t="str">
            <v>洛阳汽车网</v>
          </cell>
        </row>
        <row r="678">
          <cell r="B678" t="str">
            <v>品优网</v>
          </cell>
          <cell r="C678" t="str">
            <v>品优网</v>
          </cell>
        </row>
        <row r="679">
          <cell r="B679" t="str">
            <v>住朋网</v>
          </cell>
          <cell r="C679" t="str">
            <v>住朋网</v>
          </cell>
        </row>
        <row r="680">
          <cell r="B680" t="str">
            <v>搜狐汽车网</v>
          </cell>
          <cell r="C680" t="str">
            <v>搜狐汽车网</v>
          </cell>
        </row>
        <row r="681">
          <cell r="B681" t="str">
            <v>内涵段子</v>
          </cell>
          <cell r="C681" t="str">
            <v>内涵段子</v>
          </cell>
        </row>
        <row r="682">
          <cell r="B682" t="str">
            <v>教育装备网</v>
          </cell>
          <cell r="C682" t="str">
            <v>教育装备网</v>
          </cell>
        </row>
        <row r="683">
          <cell r="B683" t="str">
            <v>数字化企业网</v>
          </cell>
          <cell r="C683" t="str">
            <v>数字化企业网</v>
          </cell>
        </row>
        <row r="684">
          <cell r="B684" t="str">
            <v>厦门小鱼网</v>
          </cell>
          <cell r="C684" t="str">
            <v>厦门小鱼网</v>
          </cell>
        </row>
        <row r="685">
          <cell r="B685" t="str">
            <v>卡车之家</v>
          </cell>
          <cell r="C685" t="str">
            <v>卡车之家</v>
          </cell>
        </row>
        <row r="686">
          <cell r="B686" t="str">
            <v>易迅网</v>
          </cell>
          <cell r="C686" t="str">
            <v>易迅网</v>
          </cell>
        </row>
        <row r="687">
          <cell r="B687" t="str">
            <v>时尚COSMO</v>
          </cell>
          <cell r="C687" t="str">
            <v>时尚COSMO</v>
          </cell>
        </row>
        <row r="688">
          <cell r="B688" t="str">
            <v>今晚网</v>
          </cell>
          <cell r="C688" t="str">
            <v>今晚网</v>
          </cell>
        </row>
        <row r="689">
          <cell r="B689" t="str">
            <v>京东来客</v>
          </cell>
          <cell r="C689" t="str">
            <v>京东来客</v>
          </cell>
        </row>
        <row r="690">
          <cell r="B690" t="str">
            <v>云视听电视猫</v>
          </cell>
          <cell r="C690" t="str">
            <v>云视听电视猫</v>
          </cell>
        </row>
        <row r="691">
          <cell r="B691" t="str">
            <v>方得网</v>
          </cell>
          <cell r="C691" t="str">
            <v>方得网</v>
          </cell>
        </row>
        <row r="692">
          <cell r="B692" t="str">
            <v>昆明信息港</v>
          </cell>
          <cell r="C692" t="str">
            <v>昆明信息港</v>
          </cell>
        </row>
        <row r="693">
          <cell r="B693" t="str">
            <v>昆山论坛</v>
          </cell>
          <cell r="C693" t="str">
            <v>昆山论坛</v>
          </cell>
        </row>
        <row r="694">
          <cell r="B694" t="str">
            <v>光明网</v>
          </cell>
          <cell r="C694" t="str">
            <v>光明网</v>
          </cell>
        </row>
        <row r="695">
          <cell r="B695" t="str">
            <v>台州19楼</v>
          </cell>
          <cell r="C695" t="str">
            <v>台州19楼</v>
          </cell>
        </row>
        <row r="696">
          <cell r="B696" t="str">
            <v>中国路面机械网</v>
          </cell>
          <cell r="C696" t="str">
            <v>中国路面机械网</v>
          </cell>
        </row>
        <row r="697">
          <cell r="B697" t="str">
            <v>中国新闻网</v>
          </cell>
          <cell r="C697" t="str">
            <v>中国新闻网</v>
          </cell>
        </row>
        <row r="698">
          <cell r="B698" t="str">
            <v>中小企业it网</v>
          </cell>
          <cell r="C698" t="str">
            <v>中小企业it网</v>
          </cell>
        </row>
        <row r="699">
          <cell r="B699" t="str">
            <v>小咖秀</v>
          </cell>
          <cell r="C699" t="str">
            <v>小咖秀</v>
          </cell>
        </row>
        <row r="700">
          <cell r="B700" t="str">
            <v>得意生活网</v>
          </cell>
          <cell r="C700" t="str">
            <v>得意生活网</v>
          </cell>
        </row>
        <row r="701">
          <cell r="B701" t="str">
            <v>开源中国社区</v>
          </cell>
          <cell r="C701" t="str">
            <v>开源中国社区</v>
          </cell>
        </row>
        <row r="702">
          <cell r="B702" t="str">
            <v>微鲤</v>
          </cell>
          <cell r="C702" t="str">
            <v>微鲤</v>
          </cell>
        </row>
        <row r="703">
          <cell r="B703" t="str">
            <v>快对</v>
          </cell>
          <cell r="C703" t="str">
            <v>快对</v>
          </cell>
        </row>
        <row r="704">
          <cell r="B704" t="str">
            <v>东畅</v>
          </cell>
          <cell r="C704" t="str">
            <v>东畅</v>
          </cell>
        </row>
        <row r="705">
          <cell r="B705" t="str">
            <v>万家热线</v>
          </cell>
          <cell r="C705" t="str">
            <v>万家热线</v>
          </cell>
        </row>
        <row r="706">
          <cell r="B706" t="str">
            <v>rss-慎用</v>
          </cell>
          <cell r="C706" t="str">
            <v>rss-慎用</v>
          </cell>
        </row>
        <row r="707">
          <cell r="B707" t="str">
            <v>秒硕</v>
          </cell>
          <cell r="C707" t="str">
            <v>秒硕</v>
          </cell>
        </row>
        <row r="708">
          <cell r="B708" t="str">
            <v>猎豹浏览器</v>
          </cell>
          <cell r="C708" t="str">
            <v>猎豹浏览器</v>
          </cell>
        </row>
        <row r="709">
          <cell r="B709" t="str">
            <v>电子产品世界</v>
          </cell>
          <cell r="C709" t="str">
            <v>电子产品世界</v>
          </cell>
        </row>
        <row r="710">
          <cell r="B710" t="str">
            <v>百度阅读</v>
          </cell>
          <cell r="C710" t="str">
            <v>百度阅读</v>
          </cell>
        </row>
        <row r="711">
          <cell r="B711" t="str">
            <v>义乌十八腔</v>
          </cell>
          <cell r="C711" t="str">
            <v>义乌十八腔</v>
          </cell>
        </row>
        <row r="712">
          <cell r="B712" t="str">
            <v>云栖网</v>
          </cell>
          <cell r="C712" t="str">
            <v>云栖网</v>
          </cell>
        </row>
        <row r="713">
          <cell r="B713" t="str">
            <v>二手车之家</v>
          </cell>
          <cell r="C713" t="str">
            <v>二手车之家</v>
          </cell>
        </row>
        <row r="714">
          <cell r="B714" t="str">
            <v>航裕</v>
          </cell>
          <cell r="C714" t="str">
            <v>航裕</v>
          </cell>
        </row>
        <row r="715">
          <cell r="B715" t="str">
            <v>腾讯大楚网</v>
          </cell>
          <cell r="C715" t="str">
            <v>腾讯大楚网</v>
          </cell>
        </row>
        <row r="716">
          <cell r="B716" t="str">
            <v>青州论坛</v>
          </cell>
          <cell r="C716" t="str">
            <v>青州论坛</v>
          </cell>
        </row>
        <row r="717">
          <cell r="B717" t="str">
            <v>腾讯邮箱</v>
          </cell>
          <cell r="C717" t="str">
            <v>腾讯邮箱</v>
          </cell>
        </row>
        <row r="718">
          <cell r="B718" t="str">
            <v>网易视频</v>
          </cell>
          <cell r="C718" t="str">
            <v>网易视频</v>
          </cell>
        </row>
        <row r="719">
          <cell r="B719" t="str">
            <v>集享家</v>
          </cell>
          <cell r="C719" t="str">
            <v>集享家</v>
          </cell>
        </row>
        <row r="720">
          <cell r="B720" t="str">
            <v>大学搜题酱</v>
          </cell>
          <cell r="C720" t="str">
            <v>大学搜题酱</v>
          </cell>
        </row>
        <row r="721">
          <cell r="B721" t="str">
            <v>哈佛商业评论网</v>
          </cell>
          <cell r="C721" t="str">
            <v>哈佛商业评论网</v>
          </cell>
        </row>
        <row r="722">
          <cell r="B722" t="str">
            <v>商业伙伴</v>
          </cell>
          <cell r="C722" t="str">
            <v>商业伙伴</v>
          </cell>
        </row>
        <row r="723">
          <cell r="B723" t="str">
            <v>四川新闻网</v>
          </cell>
          <cell r="C723" t="str">
            <v>四川新闻网</v>
          </cell>
        </row>
        <row r="724">
          <cell r="B724" t="str">
            <v>威海信息港</v>
          </cell>
          <cell r="C724" t="str">
            <v>威海信息港</v>
          </cell>
        </row>
        <row r="725">
          <cell r="B725" t="str">
            <v>姑苏网</v>
          </cell>
          <cell r="C725" t="str">
            <v>姑苏网</v>
          </cell>
        </row>
        <row r="726">
          <cell r="B726" t="str">
            <v>薄荷网</v>
          </cell>
          <cell r="C726" t="str">
            <v>薄荷网</v>
          </cell>
        </row>
        <row r="727">
          <cell r="B727" t="str">
            <v>宏盟媒体</v>
          </cell>
          <cell r="C727" t="str">
            <v>宏盟媒体</v>
          </cell>
        </row>
        <row r="728">
          <cell r="B728" t="str">
            <v>讯飞语记</v>
          </cell>
          <cell r="C728" t="str">
            <v>讯飞语记</v>
          </cell>
        </row>
        <row r="729">
          <cell r="B729" t="str">
            <v>西祠胡同</v>
          </cell>
          <cell r="C729" t="str">
            <v>西祠胡同</v>
          </cell>
        </row>
        <row r="730">
          <cell r="B730" t="str">
            <v>HEROskate</v>
          </cell>
          <cell r="C730" t="str">
            <v>HEROskate</v>
          </cell>
        </row>
        <row r="731">
          <cell r="B731" t="str">
            <v>In</v>
          </cell>
          <cell r="C731" t="str">
            <v>In</v>
          </cell>
        </row>
        <row r="732">
          <cell r="B732" t="str">
            <v>Linkshop</v>
          </cell>
          <cell r="C732" t="str">
            <v>Linkshop</v>
          </cell>
        </row>
        <row r="733">
          <cell r="B733" t="str">
            <v>Super APP-慎用</v>
          </cell>
          <cell r="C733" t="str">
            <v>Super APP-慎用</v>
          </cell>
        </row>
        <row r="734">
          <cell r="B734" t="str">
            <v>21CN</v>
          </cell>
          <cell r="C734" t="str">
            <v>21CN</v>
          </cell>
        </row>
        <row r="735">
          <cell r="B735" t="str">
            <v>黑珑DSP</v>
          </cell>
          <cell r="C735" t="str">
            <v>黑珑DSP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lamp" refreshedDate="46272.476503703707" createdVersion="6" refreshedVersion="6" minRefreshableVersion="3" recordCount="122" xr:uid="{8ABF9EF8-95CD-4FC2-98AB-DF33009A57D5}">
  <cacheSource type="worksheet">
    <worksheetSource ref="A1:AK123" sheet="RAW"/>
  </cacheSource>
  <cacheFields count="37">
    <cacheField name="MONTH" numFmtId="0">
      <sharedItems containsSemiMixedTypes="0" containsString="0" containsNumber="1" containsInteger="1" minValue="202607" maxValue="202607"/>
    </cacheField>
    <cacheField name="客户" numFmtId="0">
      <sharedItems count="2">
        <s v="P&amp;G"/>
        <s v="大盘"/>
      </sharedItems>
    </cacheField>
    <cacheField name="NO." numFmtId="0">
      <sharedItems containsString="0" containsBlank="1" containsNumber="1" containsInteger="1" minValue="1" maxValue="23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媒体" numFmtId="0">
      <sharedItems containsBlank="1"/>
    </cacheField>
    <cacheField name="MEDIA" numFmtId="0">
      <sharedItems count="98">
        <s v="WECHAT"/>
        <s v="IQIYI"/>
        <s v="DOUYIN"/>
        <s v="TENCENT VIDEO"/>
        <s v="YOUKU"/>
        <s v="SINA WEIBO"/>
        <s v="TENCENT"/>
        <s v="BAIDU"/>
        <s v="NETEASE MUSIC"/>
        <s v="HUNANTV"/>
        <s v="MEITU"/>
        <s v="MEIYOU"/>
        <s v="BAIDU MAP"/>
        <s v="LRB"/>
        <s v="XIMALAYA"/>
        <s v="Tencent Music Group"/>
        <s v="CAINIAO"/>
        <s v="ZHIHU"/>
        <s v="QIMAO"/>
        <s v="ALIPAY"/>
        <s v="QQ BROWSER"/>
        <s v="TENCENT NEWS"/>
        <s v="BILIBILI"/>
        <s v="字节跳动系"/>
        <s v="铁路12306"/>
        <s v="KUAISHOU"/>
        <s v="Amap"/>
        <s v="懂车帝"/>
        <s v="腾讯体育"/>
        <s v="其他"/>
        <s v="YOUDAO DICTIONARY"/>
        <s v="QQ MUSIC"/>
        <s v="KUGOU"/>
        <s v="广点通"/>
        <s v="飞猪"/>
        <s v="MEIYAN"/>
        <s v="航旅纵横"/>
        <s v="百度网盘"/>
        <s v="WINK"/>
        <s v="SOUL"/>
        <s v="中国银联"/>
        <s v="效果通"/>
        <s v="DSP-慎用"/>
        <s v="HUPU"/>
        <s v="哈啰"/>
        <s v="品友互动"/>
        <s v="悠易互通"/>
        <s v="YOUDAO"/>
        <s v="NETEASE NEWS"/>
        <s v="联想DSP"/>
        <s v="中国大学慕课"/>
        <s v="QUNAR"/>
        <s v="汽水音乐"/>
        <s v="NETEASE"/>
        <s v="MOJI"/>
        <s v="新浪新闻"/>
        <s v="KEEP"/>
        <s v="豆瓣"/>
        <s v="JIANYING"/>
        <s v="咪咕视频"/>
        <s v="Line"/>
        <s v="航班管家"/>
        <s v="凤凰新闻"/>
        <s v="有道翻译官"/>
        <s v="新数网络"/>
        <s v="XINGTU"/>
        <s v="直播吧"/>
        <s v="下厨房"/>
        <s v="UC BROWSER"/>
        <s v="乐乎"/>
        <s v="懂球帝"/>
        <s v="腾讯文档"/>
        <s v="wifi万能钥匙"/>
        <s v="WESING"/>
        <s v="虎牙直播"/>
        <s v="桔柚"/>
        <s v="Tencent QQ"/>
        <s v="SOHUHD"/>
        <s v="全域通APP"/>
        <s v="京东商城"/>
        <s v="KUWO"/>
        <s v="百度贴吧"/>
        <s v="Xaxis"/>
        <s v="ALI"/>
        <s v="泛为科技"/>
        <s v="水印相机"/>
        <s v="科大讯飞"/>
        <s v="CEL"/>
        <s v="QQ阅读"/>
        <s v="SINA"/>
        <s v="企鹅电竞"/>
        <s v="腾讯会议"/>
        <s v="懂车帝效果联盟"/>
        <s v="韩小圈"/>
        <s v="Merkury"/>
        <s v="财新网"/>
        <s v="TOUTIAO"/>
        <s v="美团网"/>
      </sharedItems>
    </cacheField>
    <cacheField name="b.media_l1_name" numFmtId="0">
      <sharedItems containsBlank="1"/>
    </cacheField>
    <cacheField name="b.media_l2_name" numFmtId="0">
      <sharedItems containsBlank="1"/>
    </cacheField>
    <cacheField name="device_caid" numFmtId="0">
      <sharedItems containsSemiMixedTypes="0" containsString="0" containsNumber="1" containsInteger="1" minValue="1" maxValue="1636799858"/>
    </cacheField>
    <cacheField name="CAID_Count1" numFmtId="0">
      <sharedItems containsSemiMixedTypes="0" containsString="0" containsNumber="1" containsInteger="1" minValue="0" maxValue="493379996"/>
    </cacheField>
    <cacheField name="CAID_Count2" numFmtId="0">
      <sharedItems containsSemiMixedTypes="0" containsString="0" containsNumber="1" containsInteger="1" minValue="0" maxValue="1636799858"/>
    </cacheField>
    <cacheField name="CAID_Count3+" numFmtId="0">
      <sharedItems containsSemiMixedTypes="0" containsString="0" containsNumber="1" containsInteger="1" minValue="0" maxValue="80307866"/>
    </cacheField>
    <cacheField name="20260506_CAID" numFmtId="0">
      <sharedItems containsSemiMixedTypes="0" containsString="0" containsNumber="1" containsInteger="1" minValue="0" maxValue="1364065340"/>
    </cacheField>
    <cacheField name="20250325_CAID" numFmtId="0">
      <sharedItems containsSemiMixedTypes="0" containsString="0" containsNumber="1" containsInteger="1" minValue="0" maxValue="1636713269"/>
    </cacheField>
    <cacheField name="20250111_CAID" numFmtId="0">
      <sharedItems containsSemiMixedTypes="0" containsString="0" containsNumber="1" containsInteger="1" minValue="0" maxValue="2"/>
    </cacheField>
    <cacheField name="20240930_CAID" numFmtId="0">
      <sharedItems containsSemiMixedTypes="0" containsString="0" containsNumber="1" containsInteger="1" minValue="0" maxValue="855094725"/>
    </cacheField>
    <cacheField name="20230330_CAID" numFmtId="0">
      <sharedItems containsSemiMixedTypes="0" containsString="0" containsNumber="1" containsInteger="1" minValue="0" maxValue="995614486"/>
    </cacheField>
    <cacheField name="20221030_CAID" numFmtId="0">
      <sharedItems containsString="0" containsBlank="1" containsNumber="1" containsInteger="1" minValue="0" maxValue="723"/>
    </cacheField>
    <cacheField name="20221005_CAID" numFmtId="0">
      <sharedItems containsSemiMixedTypes="0" containsString="0" containsNumber="1" containsInteger="1" minValue="0" maxValue="2"/>
    </cacheField>
    <cacheField name="20221004_CAID" numFmtId="0">
      <sharedItems containsSemiMixedTypes="0" containsString="0" containsNumber="1" containsInteger="1" minValue="0" maxValue="12"/>
    </cacheField>
    <cacheField name="20220111_CAID" numFmtId="0">
      <sharedItems containsSemiMixedTypes="0" containsString="0" containsNumber="1" containsInteger="1" minValue="0" maxValue="88206477"/>
    </cacheField>
    <cacheField name="20211207_CAID" numFmtId="0">
      <sharedItems containsString="0" containsBlank="1" containsNumber="1" containsInteger="1" minValue="0" maxValue="87025523"/>
    </cacheField>
    <cacheField name="20201230_CAID" numFmtId="0">
      <sharedItems containsSemiMixedTypes="0" containsString="0" containsNumber="1" containsInteger="1" minValue="0" maxValue="80308764"/>
    </cacheField>
    <cacheField name="20200901_CAID" numFmtId="0">
      <sharedItems containsSemiMixedTypes="0" containsString="0" containsNumber="1" containsInteger="1" minValue="0" maxValue="29062"/>
    </cacheField>
    <cacheField name="20230330之前_CAID" numFmtId="0">
      <sharedItems containsSemiMixedTypes="0" containsString="0" containsNumber="1" containsInteger="1" minValue="0" maxValue="88207375"/>
    </cacheField>
    <cacheField name="20260506_CAID优选" numFmtId="0">
      <sharedItems containsSemiMixedTypes="0" containsString="0" containsNumber="1" containsInteger="1" minValue="0" maxValue="1364065340"/>
    </cacheField>
    <cacheField name="20250325_CAID优选" numFmtId="0">
      <sharedItems containsSemiMixedTypes="0" containsString="0" containsNumber="1" containsInteger="1" minValue="0" maxValue="992257860"/>
    </cacheField>
    <cacheField name="20250111_CAID优选" numFmtId="0">
      <sharedItems containsSemiMixedTypes="0" containsString="0" containsNumber="1" containsInteger="1" minValue="0" maxValue="0"/>
    </cacheField>
    <cacheField name="20240930_CAID优选" numFmtId="0">
      <sharedItems containsSemiMixedTypes="0" containsString="0" containsNumber="1" containsInteger="1" minValue="0" maxValue="855094725"/>
    </cacheField>
    <cacheField name="20230330_CAID优选" numFmtId="0">
      <sharedItems containsSemiMixedTypes="0" containsString="0" containsNumber="1" containsInteger="1" minValue="0" maxValue="3418810"/>
    </cacheField>
    <cacheField name="20221030_CAID优选" numFmtId="0">
      <sharedItems containsSemiMixedTypes="0" containsString="0" containsNumber="1" containsInteger="1" minValue="0" maxValue="280"/>
    </cacheField>
    <cacheField name="20221005_CAID优选" numFmtId="0">
      <sharedItems containsSemiMixedTypes="0" containsString="0" containsNumber="1" containsInteger="1" minValue="0" maxValue="0"/>
    </cacheField>
    <cacheField name="20221004_CAID优选" numFmtId="0">
      <sharedItems containsSemiMixedTypes="0" containsString="0" containsNumber="1" containsInteger="1" minValue="0" maxValue="2"/>
    </cacheField>
    <cacheField name="20220111_CAID优选" numFmtId="0">
      <sharedItems containsSemiMixedTypes="0" containsString="0" containsNumber="1" containsInteger="1" minValue="0" maxValue="7901747"/>
    </cacheField>
    <cacheField name="20211207_CAID优选" numFmtId="0">
      <sharedItems containsSemiMixedTypes="0" containsString="0" containsNumber="1" containsInteger="1" minValue="0" maxValue="13527"/>
    </cacheField>
    <cacheField name="20201230_CAID优选" numFmtId="0">
      <sharedItems containsSemiMixedTypes="0" containsString="0" containsNumber="1" containsInteger="1" minValue="0" maxValue="126786"/>
    </cacheField>
    <cacheField name="20200901_CAID优选" numFmtId="0">
      <sharedItems containsSemiMixedTypes="0" containsString="0" containsNumber="1" containsInteger="1" minValue="0" maxValue="98"/>
    </cacheField>
    <cacheField name="20250325之前_CAID优选" numFmtId="0">
      <sharedItems containsSemiMixedTypes="0" containsString="0" containsNumber="1" containsInteger="1" minValue="0" maxValue="8568675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202607"/>
    <x v="0"/>
    <x v="0"/>
    <s v="微信"/>
    <x v="0"/>
    <s v="互动社交"/>
    <s v="聊天交友"/>
    <n v="544797192"/>
    <n v="0"/>
    <n v="544797192"/>
    <n v="0"/>
    <n v="522752445"/>
    <n v="544797180"/>
    <n v="0"/>
    <n v="0"/>
    <n v="22044745"/>
    <n v="0"/>
    <n v="0"/>
    <n v="0"/>
    <n v="10"/>
    <m/>
    <n v="2"/>
    <n v="2"/>
    <n v="12"/>
    <n v="522752445"/>
    <n v="22044735"/>
    <n v="0"/>
    <n v="0"/>
    <n v="10"/>
    <n v="0"/>
    <n v="0"/>
    <n v="0"/>
    <n v="0"/>
    <n v="0"/>
    <n v="2"/>
    <n v="0"/>
    <n v="12"/>
  </r>
  <r>
    <n v="202607"/>
    <x v="0"/>
    <x v="1"/>
    <s v="爱奇艺"/>
    <x v="1"/>
    <s v="视频服务"/>
    <s v="在线视频"/>
    <n v="212000777"/>
    <n v="0"/>
    <n v="212000777"/>
    <n v="0"/>
    <n v="211548700"/>
    <n v="212000777"/>
    <n v="0"/>
    <n v="0"/>
    <n v="452077"/>
    <n v="0"/>
    <n v="0"/>
    <n v="0"/>
    <n v="0"/>
    <n v="0"/>
    <n v="0"/>
    <n v="0"/>
    <n v="0"/>
    <n v="211548700"/>
    <n v="452077"/>
    <n v="0"/>
    <n v="0"/>
    <n v="0"/>
    <n v="0"/>
    <n v="0"/>
    <n v="0"/>
    <n v="0"/>
    <n v="0"/>
    <n v="0"/>
    <n v="0"/>
    <n v="0"/>
  </r>
  <r>
    <n v="202607"/>
    <x v="0"/>
    <x v="2"/>
    <s v="抖音"/>
    <x v="2"/>
    <s v="视频服务"/>
    <s v="短视频"/>
    <n v="206167085"/>
    <n v="0"/>
    <n v="206167085"/>
    <n v="0"/>
    <n v="206167085"/>
    <n v="206167085"/>
    <n v="0"/>
    <n v="0"/>
    <n v="0"/>
    <n v="0"/>
    <n v="0"/>
    <n v="0"/>
    <n v="0"/>
    <n v="0"/>
    <n v="0"/>
    <n v="0"/>
    <n v="0"/>
    <n v="206167085"/>
    <n v="0"/>
    <n v="0"/>
    <n v="0"/>
    <n v="0"/>
    <n v="0"/>
    <n v="0"/>
    <n v="0"/>
    <n v="0"/>
    <n v="0"/>
    <n v="0"/>
    <n v="0"/>
    <n v="0"/>
  </r>
  <r>
    <n v="202607"/>
    <x v="0"/>
    <x v="3"/>
    <s v="腾讯视频"/>
    <x v="3"/>
    <s v="视频服务"/>
    <s v="在线视频"/>
    <n v="188845799"/>
    <n v="0"/>
    <n v="188845799"/>
    <n v="0"/>
    <n v="146948661"/>
    <n v="188834109"/>
    <n v="0"/>
    <n v="0"/>
    <n v="41897000"/>
    <n v="0"/>
    <n v="0"/>
    <n v="0"/>
    <n v="11670"/>
    <n v="119"/>
    <n v="20"/>
    <n v="19"/>
    <n v="11690"/>
    <n v="146948661"/>
    <n v="41885448"/>
    <n v="0"/>
    <n v="0"/>
    <n v="11552"/>
    <n v="0"/>
    <n v="0"/>
    <n v="0"/>
    <n v="118"/>
    <n v="1"/>
    <n v="19"/>
    <n v="0"/>
    <n v="11690"/>
  </r>
  <r>
    <n v="202607"/>
    <x v="0"/>
    <x v="4"/>
    <s v="优酷"/>
    <x v="4"/>
    <s v="视频服务"/>
    <s v="在线视频"/>
    <n v="174015915"/>
    <n v="163"/>
    <n v="171773962"/>
    <n v="2241790"/>
    <n v="156033142"/>
    <n v="172335645"/>
    <n v="0"/>
    <n v="0"/>
    <n v="18860541"/>
    <n v="0"/>
    <n v="0"/>
    <n v="0"/>
    <n v="3888837"/>
    <n v="3519644"/>
    <n v="2241953"/>
    <n v="0"/>
    <n v="3889000"/>
    <n v="156033142"/>
    <n v="16302503"/>
    <n v="0"/>
    <n v="0"/>
    <n v="369657"/>
    <n v="0"/>
    <n v="0"/>
    <n v="0"/>
    <n v="1310450"/>
    <n v="0"/>
    <n v="163"/>
    <n v="0"/>
    <n v="1680270"/>
  </r>
  <r>
    <n v="202607"/>
    <x v="0"/>
    <x v="5"/>
    <s v="微博"/>
    <x v="5"/>
    <s v="互动社交"/>
    <s v="微博博客"/>
    <n v="138610928"/>
    <n v="5"/>
    <n v="138610923"/>
    <n v="0"/>
    <n v="138523795"/>
    <n v="138595456"/>
    <n v="0"/>
    <n v="0"/>
    <n v="87098"/>
    <n v="0"/>
    <n v="0"/>
    <n v="0"/>
    <n v="15467"/>
    <n v="28"/>
    <n v="7"/>
    <n v="0"/>
    <n v="15472"/>
    <n v="138523795"/>
    <n v="71661"/>
    <n v="0"/>
    <n v="0"/>
    <n v="15437"/>
    <n v="0"/>
    <n v="0"/>
    <n v="0"/>
    <n v="30"/>
    <n v="0"/>
    <n v="5"/>
    <n v="0"/>
    <n v="15472"/>
  </r>
  <r>
    <n v="202607"/>
    <x v="0"/>
    <x v="6"/>
    <s v="腾讯系"/>
    <x v="6"/>
    <s v="其他"/>
    <s v="其他"/>
    <n v="71897379"/>
    <n v="0"/>
    <n v="71897379"/>
    <n v="0"/>
    <n v="71895704"/>
    <n v="71897121"/>
    <n v="0"/>
    <n v="0"/>
    <n v="1666"/>
    <n v="0"/>
    <n v="0"/>
    <n v="0"/>
    <n v="256"/>
    <n v="7"/>
    <n v="2"/>
    <n v="2"/>
    <n v="258"/>
    <n v="71895704"/>
    <n v="1417"/>
    <n v="0"/>
    <n v="0"/>
    <n v="249"/>
    <n v="0"/>
    <n v="0"/>
    <n v="0"/>
    <n v="7"/>
    <n v="0"/>
    <n v="2"/>
    <n v="0"/>
    <n v="258"/>
  </r>
  <r>
    <n v="202607"/>
    <x v="0"/>
    <x v="7"/>
    <s v="百度"/>
    <x v="7"/>
    <s v="应用工具"/>
    <s v="搜索服务"/>
    <n v="58698539"/>
    <n v="122765"/>
    <n v="58575774"/>
    <n v="0"/>
    <n v="18179832"/>
    <n v="58629495"/>
    <n v="1"/>
    <n v="0"/>
    <n v="40437608"/>
    <n v="311"/>
    <n v="1"/>
    <n v="6"/>
    <n v="21716"/>
    <n v="4875"/>
    <n v="356"/>
    <n v="112"/>
    <n v="26483"/>
    <n v="18179832"/>
    <n v="40455190"/>
    <n v="0"/>
    <n v="0"/>
    <n v="53761"/>
    <n v="118"/>
    <n v="0"/>
    <n v="1"/>
    <n v="7258"/>
    <n v="2144"/>
    <n v="197"/>
    <n v="38"/>
    <n v="63517"/>
  </r>
  <r>
    <n v="202607"/>
    <x v="0"/>
    <x v="8"/>
    <s v="网易云音乐"/>
    <x v="8"/>
    <s v="音乐综合"/>
    <s v="在线音乐"/>
    <n v="54873019"/>
    <n v="154"/>
    <n v="54872865"/>
    <n v="0"/>
    <n v="3923920"/>
    <n v="54814274"/>
    <n v="0"/>
    <n v="0"/>
    <n v="50946264"/>
    <n v="0"/>
    <n v="0"/>
    <n v="0"/>
    <n v="58591"/>
    <n v="2681"/>
    <n v="154"/>
    <n v="0"/>
    <n v="58745"/>
    <n v="3923920"/>
    <n v="50890354"/>
    <n v="0"/>
    <n v="0"/>
    <n v="55910"/>
    <n v="0"/>
    <n v="0"/>
    <n v="0"/>
    <n v="2681"/>
    <n v="0"/>
    <n v="154"/>
    <n v="0"/>
    <n v="58745"/>
  </r>
  <r>
    <n v="202607"/>
    <x v="0"/>
    <x v="9"/>
    <s v="芒果TV"/>
    <x v="9"/>
    <s v="视频服务"/>
    <s v="在线视频"/>
    <n v="52326337"/>
    <n v="0"/>
    <n v="52326337"/>
    <n v="0"/>
    <n v="42014888"/>
    <n v="52326337"/>
    <n v="0"/>
    <n v="0"/>
    <n v="10311449"/>
    <n v="0"/>
    <n v="0"/>
    <n v="0"/>
    <n v="0"/>
    <n v="0"/>
    <n v="0"/>
    <n v="0"/>
    <n v="0"/>
    <n v="42014888"/>
    <n v="10311449"/>
    <n v="0"/>
    <n v="0"/>
    <n v="0"/>
    <n v="0"/>
    <n v="0"/>
    <n v="0"/>
    <n v="0"/>
    <n v="0"/>
    <n v="0"/>
    <n v="0"/>
    <n v="0"/>
  </r>
  <r>
    <n v="202607"/>
    <x v="0"/>
    <x v="10"/>
    <s v="美图秀秀"/>
    <x v="10"/>
    <s v="拍摄美化"/>
    <s v="拍摄美化"/>
    <n v="42124152"/>
    <n v="0"/>
    <n v="42124152"/>
    <n v="0"/>
    <n v="40569633"/>
    <n v="42122985"/>
    <n v="0"/>
    <n v="0"/>
    <n v="1554449"/>
    <n v="0"/>
    <n v="0"/>
    <n v="0"/>
    <n v="1146"/>
    <n v="52"/>
    <n v="21"/>
    <n v="18"/>
    <n v="1167"/>
    <n v="40569633"/>
    <n v="1553352"/>
    <n v="0"/>
    <n v="0"/>
    <n v="1097"/>
    <n v="0"/>
    <n v="0"/>
    <n v="0"/>
    <n v="49"/>
    <n v="3"/>
    <n v="18"/>
    <n v="0"/>
    <n v="1167"/>
  </r>
  <r>
    <n v="202607"/>
    <x v="0"/>
    <x v="11"/>
    <s v="美柚"/>
    <x v="11"/>
    <s v="母婴垂媒"/>
    <s v="孕婴/女性助手"/>
    <n v="14101290"/>
    <n v="0"/>
    <n v="14101290"/>
    <n v="0"/>
    <n v="14037670"/>
    <n v="14101290"/>
    <n v="0"/>
    <n v="0"/>
    <n v="63620"/>
    <n v="0"/>
    <n v="0"/>
    <n v="0"/>
    <n v="0"/>
    <n v="0"/>
    <n v="0"/>
    <n v="0"/>
    <n v="0"/>
    <n v="14037670"/>
    <n v="63620"/>
    <n v="0"/>
    <n v="0"/>
    <n v="0"/>
    <n v="0"/>
    <n v="0"/>
    <n v="0"/>
    <n v="0"/>
    <n v="0"/>
    <n v="0"/>
    <n v="0"/>
    <n v="0"/>
  </r>
  <r>
    <n v="202607"/>
    <x v="0"/>
    <x v="12"/>
    <s v="百度地图"/>
    <x v="12"/>
    <s v="生活服务"/>
    <s v="出行导航"/>
    <n v="14042042"/>
    <n v="55431"/>
    <n v="13986610"/>
    <n v="1"/>
    <n v="4985946"/>
    <n v="14015257"/>
    <n v="0"/>
    <n v="0"/>
    <n v="9017203"/>
    <n v="83"/>
    <n v="0"/>
    <n v="1"/>
    <n v="8819"/>
    <n v="1269"/>
    <n v="30"/>
    <n v="46"/>
    <n v="9920"/>
    <n v="4985946"/>
    <n v="9031854"/>
    <n v="0"/>
    <n v="0"/>
    <n v="19812"/>
    <n v="50"/>
    <n v="0"/>
    <n v="1"/>
    <n v="3811"/>
    <n v="531"/>
    <n v="14"/>
    <n v="23"/>
    <n v="24242"/>
  </r>
  <r>
    <n v="202607"/>
    <x v="0"/>
    <x v="13"/>
    <s v="小红书"/>
    <x v="13"/>
    <s v="电子商务"/>
    <s v="购物分享"/>
    <n v="12244898"/>
    <n v="0"/>
    <n v="12244898"/>
    <n v="0"/>
    <n v="12083777"/>
    <n v="12242697"/>
    <n v="0"/>
    <n v="0"/>
    <n v="161104"/>
    <n v="0"/>
    <n v="0"/>
    <n v="0"/>
    <n v="2201"/>
    <n v="17"/>
    <n v="0"/>
    <n v="0"/>
    <n v="2201"/>
    <n v="12083777"/>
    <n v="158920"/>
    <n v="0"/>
    <n v="0"/>
    <n v="2184"/>
    <n v="0"/>
    <n v="0"/>
    <n v="0"/>
    <n v="17"/>
    <n v="0"/>
    <n v="0"/>
    <n v="0"/>
    <n v="2201"/>
  </r>
  <r>
    <n v="202607"/>
    <x v="0"/>
    <x v="14"/>
    <s v="喜马拉雅"/>
    <x v="14"/>
    <s v="音乐综合"/>
    <s v="电台/有声阅读"/>
    <n v="8422727"/>
    <n v="4806959"/>
    <n v="3615768"/>
    <n v="0"/>
    <n v="8287731"/>
    <n v="3731609"/>
    <n v="0"/>
    <n v="0"/>
    <n v="19155"/>
    <n v="0"/>
    <n v="0"/>
    <n v="0"/>
    <n v="0"/>
    <n v="0"/>
    <n v="0"/>
    <n v="0"/>
    <n v="0"/>
    <n v="8287731"/>
    <n v="134996"/>
    <n v="0"/>
    <n v="0"/>
    <n v="0"/>
    <n v="0"/>
    <n v="0"/>
    <n v="0"/>
    <n v="0"/>
    <n v="0"/>
    <n v="0"/>
    <n v="0"/>
    <n v="0"/>
  </r>
  <r>
    <n v="202607"/>
    <x v="0"/>
    <x v="15"/>
    <s v="腾讯音乐娱乐"/>
    <x v="15"/>
    <s v="音乐综合"/>
    <s v="在线音乐"/>
    <n v="6075489"/>
    <n v="0"/>
    <n v="6075489"/>
    <n v="0"/>
    <n v="3241213"/>
    <n v="6075489"/>
    <n v="0"/>
    <n v="0"/>
    <n v="2834276"/>
    <n v="0"/>
    <n v="0"/>
    <n v="0"/>
    <n v="0"/>
    <n v="0"/>
    <n v="0"/>
    <n v="0"/>
    <n v="0"/>
    <n v="3241213"/>
    <n v="2834276"/>
    <n v="0"/>
    <n v="0"/>
    <n v="0"/>
    <n v="0"/>
    <n v="0"/>
    <n v="0"/>
    <n v="0"/>
    <n v="0"/>
    <n v="0"/>
    <n v="0"/>
    <n v="0"/>
  </r>
  <r>
    <n v="202607"/>
    <x v="0"/>
    <x v="16"/>
    <s v="菜鸟裹裹"/>
    <x v="16"/>
    <s v="生活服务"/>
    <s v="其他生活服务"/>
    <n v="5044281"/>
    <n v="7187"/>
    <n v="5037094"/>
    <n v="0"/>
    <n v="5015737"/>
    <n v="5017767"/>
    <n v="0"/>
    <n v="0"/>
    <n v="2066"/>
    <n v="0"/>
    <n v="0"/>
    <n v="0"/>
    <n v="19327"/>
    <n v="19291"/>
    <n v="7187"/>
    <n v="0"/>
    <n v="26514"/>
    <n v="5015737"/>
    <n v="2030"/>
    <n v="0"/>
    <n v="0"/>
    <n v="36"/>
    <n v="0"/>
    <n v="0"/>
    <n v="0"/>
    <n v="19291"/>
    <n v="0"/>
    <n v="7187"/>
    <n v="0"/>
    <n v="26514"/>
  </r>
  <r>
    <n v="202607"/>
    <x v="0"/>
    <x v="17"/>
    <s v="知乎"/>
    <x v="17"/>
    <s v="应用工具"/>
    <s v="知识百科"/>
    <n v="4574109"/>
    <n v="0"/>
    <n v="4574109"/>
    <n v="0"/>
    <n v="4571723"/>
    <n v="4574109"/>
    <n v="0"/>
    <n v="0"/>
    <n v="2386"/>
    <n v="0"/>
    <n v="0"/>
    <n v="0"/>
    <n v="0"/>
    <n v="0"/>
    <n v="0"/>
    <n v="0"/>
    <n v="0"/>
    <n v="4571723"/>
    <n v="2386"/>
    <n v="0"/>
    <n v="0"/>
    <n v="0"/>
    <n v="0"/>
    <n v="0"/>
    <n v="0"/>
    <n v="0"/>
    <n v="0"/>
    <n v="0"/>
    <n v="0"/>
    <n v="0"/>
  </r>
  <r>
    <n v="202607"/>
    <x v="0"/>
    <x v="18"/>
    <s v="七猫免费小说"/>
    <x v="18"/>
    <s v="电子阅读"/>
    <s v="在线阅读"/>
    <n v="3510270"/>
    <n v="0"/>
    <n v="3510270"/>
    <n v="0"/>
    <n v="3439890"/>
    <n v="3509673"/>
    <n v="0"/>
    <n v="0"/>
    <n v="70361"/>
    <n v="0"/>
    <n v="0"/>
    <n v="0"/>
    <n v="597"/>
    <n v="19"/>
    <n v="0"/>
    <n v="0"/>
    <n v="597"/>
    <n v="3439890"/>
    <n v="69783"/>
    <n v="0"/>
    <n v="0"/>
    <n v="578"/>
    <n v="0"/>
    <n v="0"/>
    <n v="0"/>
    <n v="19"/>
    <n v="0"/>
    <n v="0"/>
    <n v="0"/>
    <n v="597"/>
  </r>
  <r>
    <n v="202607"/>
    <x v="0"/>
    <x v="19"/>
    <s v="支付宝"/>
    <x v="19"/>
    <s v="金融理财"/>
    <s v="理财贷款"/>
    <n v="3240110"/>
    <n v="158"/>
    <n v="3239952"/>
    <n v="0"/>
    <n v="3235123"/>
    <n v="3239896"/>
    <n v="0"/>
    <n v="0"/>
    <n v="4844"/>
    <n v="0"/>
    <n v="0"/>
    <n v="0"/>
    <n v="199"/>
    <n v="0"/>
    <n v="0"/>
    <n v="0"/>
    <n v="199"/>
    <n v="3235123"/>
    <n v="4774"/>
    <n v="0"/>
    <n v="0"/>
    <n v="207"/>
    <n v="0"/>
    <n v="0"/>
    <n v="0"/>
    <n v="6"/>
    <n v="0"/>
    <n v="0"/>
    <n v="0"/>
    <n v="213"/>
  </r>
  <r>
    <n v="202607"/>
    <x v="0"/>
    <x v="20"/>
    <s v="QQ浏览器"/>
    <x v="20"/>
    <s v="应用工具"/>
    <s v="浏览器"/>
    <n v="2410588"/>
    <n v="0"/>
    <n v="2410588"/>
    <n v="0"/>
    <n v="1755112"/>
    <n v="2410588"/>
    <n v="0"/>
    <n v="0"/>
    <n v="655476"/>
    <n v="0"/>
    <n v="0"/>
    <n v="0"/>
    <n v="0"/>
    <n v="0"/>
    <n v="0"/>
    <n v="0"/>
    <n v="0"/>
    <n v="1755112"/>
    <n v="655476"/>
    <n v="0"/>
    <n v="0"/>
    <n v="0"/>
    <n v="0"/>
    <n v="0"/>
    <n v="0"/>
    <n v="0"/>
    <n v="0"/>
    <n v="0"/>
    <n v="0"/>
    <n v="0"/>
  </r>
  <r>
    <n v="202607"/>
    <x v="0"/>
    <x v="21"/>
    <s v="腾讯新闻"/>
    <x v="21"/>
    <s v="综合资讯"/>
    <s v="新闻资讯"/>
    <n v="987082"/>
    <n v="0"/>
    <n v="987082"/>
    <n v="0"/>
    <n v="544530"/>
    <n v="987082"/>
    <n v="0"/>
    <n v="0"/>
    <n v="442552"/>
    <n v="0"/>
    <n v="0"/>
    <n v="0"/>
    <n v="0"/>
    <n v="0"/>
    <n v="0"/>
    <n v="0"/>
    <n v="0"/>
    <n v="544530"/>
    <n v="442552"/>
    <n v="0"/>
    <n v="0"/>
    <n v="0"/>
    <n v="0"/>
    <n v="0"/>
    <n v="0"/>
    <n v="0"/>
    <n v="0"/>
    <n v="0"/>
    <n v="0"/>
    <n v="0"/>
  </r>
  <r>
    <n v="202607"/>
    <x v="0"/>
    <x v="22"/>
    <s v="哔哩哔哩"/>
    <x v="22"/>
    <s v="视频服务"/>
    <s v="在线视频"/>
    <n v="122499"/>
    <n v="0"/>
    <n v="122499"/>
    <n v="0"/>
    <n v="122499"/>
    <n v="122499"/>
    <n v="0"/>
    <n v="0"/>
    <n v="0"/>
    <n v="0"/>
    <n v="0"/>
    <n v="0"/>
    <n v="0"/>
    <n v="0"/>
    <n v="0"/>
    <n v="0"/>
    <n v="0"/>
    <n v="122499"/>
    <n v="0"/>
    <n v="0"/>
    <n v="0"/>
    <n v="0"/>
    <n v="0"/>
    <n v="0"/>
    <n v="0"/>
    <n v="0"/>
    <n v="0"/>
    <n v="0"/>
    <n v="0"/>
    <n v="0"/>
  </r>
  <r>
    <n v="202607"/>
    <x v="1"/>
    <x v="0"/>
    <s v="微信"/>
    <x v="0"/>
    <s v="互动社交"/>
    <s v="聊天交友"/>
    <n v="544797192"/>
    <n v="0"/>
    <n v="544797192"/>
    <n v="0"/>
    <n v="522752445"/>
    <n v="544797180"/>
    <n v="0"/>
    <n v="0"/>
    <n v="22044745"/>
    <m/>
    <n v="0"/>
    <n v="0"/>
    <n v="10"/>
    <n v="0"/>
    <n v="2"/>
    <n v="2"/>
    <n v="12"/>
    <n v="522752445"/>
    <n v="22044735"/>
    <n v="0"/>
    <n v="0"/>
    <n v="10"/>
    <n v="0"/>
    <n v="0"/>
    <n v="0"/>
    <n v="0"/>
    <n v="0"/>
    <n v="2"/>
    <n v="0"/>
    <n v="12"/>
  </r>
  <r>
    <n v="202607"/>
    <x v="1"/>
    <x v="1"/>
    <s v="爱奇艺"/>
    <x v="1"/>
    <s v="视频服务"/>
    <s v="在线视频"/>
    <n v="1370320327"/>
    <n v="5"/>
    <n v="1370312137"/>
    <n v="8185"/>
    <n v="1364065340"/>
    <n v="1370308360"/>
    <n v="0"/>
    <n v="0"/>
    <n v="6254476"/>
    <n v="0"/>
    <n v="0"/>
    <n v="0"/>
    <n v="17423"/>
    <n v="11067"/>
    <n v="8167"/>
    <n v="1"/>
    <n v="17426"/>
    <n v="1364065340"/>
    <n v="6243020"/>
    <n v="0"/>
    <n v="0"/>
    <n v="6348"/>
    <n v="0"/>
    <n v="0"/>
    <n v="0"/>
    <n v="5616"/>
    <n v="0"/>
    <n v="3"/>
    <n v="0"/>
    <n v="11967"/>
  </r>
  <r>
    <n v="202607"/>
    <x v="1"/>
    <x v="2"/>
    <s v="抖音"/>
    <x v="2"/>
    <s v="视频服务"/>
    <s v="短视频"/>
    <n v="1359163835"/>
    <n v="0"/>
    <n v="1359163835"/>
    <n v="0"/>
    <n v="1359045810"/>
    <n v="1359163598"/>
    <n v="0"/>
    <n v="0"/>
    <n v="118025"/>
    <n v="0"/>
    <n v="0"/>
    <n v="0"/>
    <n v="237"/>
    <n v="0"/>
    <n v="0"/>
    <n v="0"/>
    <n v="237"/>
    <n v="1359045810"/>
    <n v="117788"/>
    <n v="0"/>
    <n v="0"/>
    <n v="237"/>
    <n v="0"/>
    <n v="0"/>
    <n v="0"/>
    <n v="0"/>
    <n v="0"/>
    <n v="0"/>
    <n v="0"/>
    <n v="237"/>
  </r>
  <r>
    <n v="202607"/>
    <x v="1"/>
    <x v="3"/>
    <s v="腾讯视频"/>
    <x v="3"/>
    <s v="视频服务"/>
    <s v="在线视频"/>
    <n v="1636799858"/>
    <n v="0"/>
    <n v="1636799858"/>
    <n v="0"/>
    <n v="1332126250"/>
    <n v="1636713269"/>
    <n v="0"/>
    <n v="0"/>
    <n v="304670965"/>
    <n v="0"/>
    <n v="0"/>
    <n v="0"/>
    <n v="85938"/>
    <n v="2121"/>
    <n v="651"/>
    <n v="522"/>
    <n v="86589"/>
    <n v="1332126250"/>
    <n v="304587019"/>
    <n v="0"/>
    <n v="0"/>
    <n v="83946"/>
    <n v="0"/>
    <n v="0"/>
    <n v="0"/>
    <n v="1992"/>
    <n v="129"/>
    <n v="522"/>
    <n v="0"/>
    <n v="86589"/>
  </r>
  <r>
    <n v="202607"/>
    <x v="1"/>
    <x v="4"/>
    <s v="优酷"/>
    <x v="4"/>
    <s v="视频服务"/>
    <s v="在线视频"/>
    <n v="849598929"/>
    <n v="1242"/>
    <n v="769289821"/>
    <n v="80307866"/>
    <n v="787691211"/>
    <n v="840503221"/>
    <n v="0"/>
    <n v="0"/>
    <n v="132331386"/>
    <n v="0"/>
    <n v="0"/>
    <n v="0"/>
    <n v="88206477"/>
    <n v="87025523"/>
    <n v="80308764"/>
    <n v="0"/>
    <n v="88207375"/>
    <n v="787691211"/>
    <n v="52812081"/>
    <n v="0"/>
    <n v="0"/>
    <n v="1192992"/>
    <n v="0"/>
    <n v="0"/>
    <n v="0"/>
    <n v="7901747"/>
    <n v="0"/>
    <n v="898"/>
    <n v="0"/>
    <n v="9095637"/>
  </r>
  <r>
    <n v="202607"/>
    <x v="1"/>
    <x v="5"/>
    <s v="微博"/>
    <x v="5"/>
    <s v="互动社交"/>
    <s v="微博博客"/>
    <n v="973425115"/>
    <n v="144"/>
    <n v="973424971"/>
    <n v="0"/>
    <n v="971646831"/>
    <n v="973331156"/>
    <n v="0"/>
    <n v="0"/>
    <n v="1777778"/>
    <n v="0"/>
    <n v="0"/>
    <n v="0"/>
    <n v="93815"/>
    <n v="352"/>
    <n v="154"/>
    <n v="0"/>
    <n v="93959"/>
    <n v="971646831"/>
    <n v="1684325"/>
    <n v="0"/>
    <n v="0"/>
    <n v="93453"/>
    <n v="0"/>
    <n v="0"/>
    <n v="0"/>
    <n v="362"/>
    <n v="0"/>
    <n v="144"/>
    <n v="0"/>
    <n v="93959"/>
  </r>
  <r>
    <n v="202607"/>
    <x v="1"/>
    <x v="6"/>
    <s v="腾讯系"/>
    <x v="6"/>
    <s v="其他"/>
    <s v="其他"/>
    <n v="1004657427"/>
    <n v="493379996"/>
    <n v="511277361"/>
    <n v="70"/>
    <n v="129496904"/>
    <n v="147789865"/>
    <n v="0"/>
    <n v="855094725"/>
    <n v="381614283"/>
    <n v="0"/>
    <n v="0"/>
    <n v="0"/>
    <n v="1730306"/>
    <n v="137252"/>
    <n v="42531"/>
    <n v="29062"/>
    <n v="1772837"/>
    <n v="129496904"/>
    <n v="18292961"/>
    <n v="0"/>
    <n v="855094725"/>
    <n v="1606581"/>
    <n v="0"/>
    <n v="0"/>
    <n v="0"/>
    <n v="123725"/>
    <n v="13527"/>
    <n v="29004"/>
    <n v="0"/>
    <n v="856867562"/>
  </r>
  <r>
    <n v="202607"/>
    <x v="1"/>
    <x v="7"/>
    <s v="百度"/>
    <x v="7"/>
    <s v="应用工具"/>
    <s v="搜索服务"/>
    <n v="146505941"/>
    <n v="270020"/>
    <n v="146235921"/>
    <n v="0"/>
    <n v="47898388"/>
    <n v="146352031"/>
    <n v="2"/>
    <n v="0"/>
    <n v="98427455"/>
    <n v="723"/>
    <n v="2"/>
    <n v="12"/>
    <n v="51014"/>
    <n v="11130"/>
    <n v="856"/>
    <n v="249"/>
    <n v="61752"/>
    <n v="47898388"/>
    <n v="98465446"/>
    <n v="0"/>
    <n v="0"/>
    <n v="119450"/>
    <n v="280"/>
    <n v="0"/>
    <n v="2"/>
    <n v="17066"/>
    <n v="4776"/>
    <n v="451"/>
    <n v="82"/>
    <n v="142107"/>
  </r>
  <r>
    <n v="202607"/>
    <x v="1"/>
    <x v="8"/>
    <s v="网易云音乐"/>
    <x v="8"/>
    <s v="音乐综合"/>
    <s v="在线音乐"/>
    <n v="224281335"/>
    <n v="57313"/>
    <n v="224222869"/>
    <n v="1153"/>
    <n v="17595586"/>
    <n v="224033390"/>
    <n v="0"/>
    <n v="0"/>
    <n v="206674236"/>
    <n v="0"/>
    <n v="0"/>
    <n v="0"/>
    <n v="193100"/>
    <n v="10830"/>
    <n v="1629"/>
    <n v="0"/>
    <n v="193590"/>
    <n v="17595586"/>
    <n v="206493025"/>
    <n v="0"/>
    <n v="0"/>
    <n v="182091"/>
    <n v="0"/>
    <n v="0"/>
    <n v="0"/>
    <n v="10145"/>
    <n v="0"/>
    <n v="488"/>
    <n v="0"/>
    <n v="192724"/>
  </r>
  <r>
    <n v="202607"/>
    <x v="1"/>
    <x v="9"/>
    <s v="芒果TV"/>
    <x v="9"/>
    <s v="视频服务"/>
    <s v="在线视频"/>
    <n v="1235026687"/>
    <n v="247"/>
    <n v="1235026438"/>
    <n v="2"/>
    <n v="239386349"/>
    <n v="1231644156"/>
    <n v="0"/>
    <n v="0"/>
    <n v="995614486"/>
    <n v="0"/>
    <n v="0"/>
    <n v="0"/>
    <n v="3382413"/>
    <n v="25723"/>
    <n v="2"/>
    <n v="0"/>
    <n v="3382413"/>
    <n v="239386349"/>
    <n v="992257860"/>
    <n v="0"/>
    <n v="0"/>
    <n v="3356733"/>
    <n v="0"/>
    <n v="0"/>
    <n v="0"/>
    <n v="25745"/>
    <n v="0"/>
    <n v="0"/>
    <n v="0"/>
    <n v="3382478"/>
  </r>
  <r>
    <n v="202607"/>
    <x v="1"/>
    <x v="10"/>
    <s v="美图秀秀"/>
    <x v="10"/>
    <s v="拍摄美化"/>
    <s v="拍摄美化"/>
    <n v="141857276"/>
    <n v="4"/>
    <n v="141857272"/>
    <n v="0"/>
    <n v="137518861"/>
    <n v="141848056"/>
    <n v="0"/>
    <n v="0"/>
    <n v="4337551"/>
    <n v="0"/>
    <n v="0"/>
    <n v="0"/>
    <n v="8995"/>
    <n v="702"/>
    <n v="225"/>
    <n v="158"/>
    <n v="9220"/>
    <n v="137518861"/>
    <n v="4329195"/>
    <n v="0"/>
    <n v="0"/>
    <n v="8356"/>
    <n v="0"/>
    <n v="0"/>
    <n v="0"/>
    <n v="639"/>
    <n v="63"/>
    <n v="162"/>
    <n v="0"/>
    <n v="9220"/>
  </r>
  <r>
    <n v="202607"/>
    <x v="1"/>
    <x v="11"/>
    <s v="美柚"/>
    <x v="11"/>
    <s v="母婴垂媒"/>
    <s v="孕婴/女性助手"/>
    <n v="46388614"/>
    <n v="0"/>
    <n v="46388614"/>
    <n v="0"/>
    <n v="46224410"/>
    <n v="46388614"/>
    <n v="0"/>
    <n v="0"/>
    <n v="164204"/>
    <n v="0"/>
    <n v="0"/>
    <n v="0"/>
    <n v="0"/>
    <n v="0"/>
    <n v="0"/>
    <n v="0"/>
    <n v="0"/>
    <n v="46224410"/>
    <n v="164204"/>
    <n v="0"/>
    <n v="0"/>
    <n v="0"/>
    <n v="0"/>
    <n v="0"/>
    <n v="0"/>
    <n v="0"/>
    <n v="0"/>
    <n v="0"/>
    <n v="0"/>
    <n v="0"/>
  </r>
  <r>
    <n v="202607"/>
    <x v="1"/>
    <x v="12"/>
    <s v="百度地图"/>
    <x v="12"/>
    <s v="生活服务"/>
    <s v="出行导航"/>
    <n v="72389249"/>
    <n v="236044"/>
    <n v="72153202"/>
    <n v="3"/>
    <n v="31876947"/>
    <n v="72267261"/>
    <n v="0"/>
    <n v="0"/>
    <n v="40348923"/>
    <n v="291"/>
    <n v="1"/>
    <n v="3"/>
    <n v="42913"/>
    <n v="5783"/>
    <n v="143"/>
    <n v="192"/>
    <n v="47440"/>
    <n v="31876947"/>
    <n v="40405100"/>
    <n v="0"/>
    <n v="0"/>
    <n v="87272"/>
    <n v="159"/>
    <n v="0"/>
    <n v="2"/>
    <n v="17410"/>
    <n v="2184"/>
    <n v="77"/>
    <n v="98"/>
    <n v="107202"/>
  </r>
  <r>
    <n v="202607"/>
    <x v="1"/>
    <x v="13"/>
    <s v="小红书"/>
    <x v="13"/>
    <s v="电子商务"/>
    <s v="购物分享"/>
    <n v="572180129"/>
    <n v="18"/>
    <n v="572180089"/>
    <n v="22"/>
    <n v="558518128"/>
    <n v="571962706"/>
    <n v="0"/>
    <n v="0"/>
    <n v="13659137"/>
    <n v="0"/>
    <n v="0"/>
    <n v="0"/>
    <n v="217226"/>
    <n v="2794"/>
    <n v="215"/>
    <n v="56"/>
    <n v="217419"/>
    <n v="558518128"/>
    <n v="13444581"/>
    <n v="0"/>
    <n v="0"/>
    <n v="214569"/>
    <n v="0"/>
    <n v="0"/>
    <n v="0"/>
    <n v="2658"/>
    <n v="137"/>
    <n v="56"/>
    <n v="0"/>
    <n v="217420"/>
  </r>
  <r>
    <n v="202607"/>
    <x v="1"/>
    <x v="14"/>
    <s v="喜马拉雅"/>
    <x v="14"/>
    <s v="音乐综合"/>
    <s v="电台/有声阅读"/>
    <n v="38783341"/>
    <n v="11598622"/>
    <n v="27184719"/>
    <n v="0"/>
    <n v="38469443"/>
    <n v="27418390"/>
    <n v="0"/>
    <n v="0"/>
    <n v="79125"/>
    <n v="0"/>
    <n v="0"/>
    <n v="0"/>
    <n v="562"/>
    <n v="539"/>
    <n v="1"/>
    <n v="0"/>
    <n v="563"/>
    <n v="38469443"/>
    <n v="313271"/>
    <n v="0"/>
    <n v="0"/>
    <n v="75"/>
    <n v="0"/>
    <n v="0"/>
    <n v="0"/>
    <n v="551"/>
    <n v="0"/>
    <n v="1"/>
    <n v="0"/>
    <n v="627"/>
  </r>
  <r>
    <n v="202607"/>
    <x v="1"/>
    <x v="15"/>
    <s v="腾讯音乐娱乐"/>
    <x v="15"/>
    <s v="音乐综合"/>
    <s v="在线音乐"/>
    <n v="23977299"/>
    <n v="0"/>
    <n v="23977299"/>
    <n v="0"/>
    <n v="18020613"/>
    <n v="23977156"/>
    <n v="0"/>
    <n v="0"/>
    <n v="5956680"/>
    <n v="0"/>
    <n v="0"/>
    <n v="0"/>
    <n v="139"/>
    <n v="4"/>
    <n v="4"/>
    <n v="2"/>
    <n v="143"/>
    <n v="18020613"/>
    <n v="5956543"/>
    <n v="0"/>
    <n v="0"/>
    <n v="137"/>
    <n v="0"/>
    <n v="0"/>
    <n v="0"/>
    <n v="2"/>
    <n v="2"/>
    <n v="2"/>
    <n v="0"/>
    <n v="143"/>
  </r>
  <r>
    <n v="202607"/>
    <x v="1"/>
    <x v="16"/>
    <s v="菜鸟裹裹"/>
    <x v="16"/>
    <s v="生活服务"/>
    <s v="其他生活服务"/>
    <n v="25988303"/>
    <n v="126786"/>
    <n v="10073840"/>
    <n v="15787677"/>
    <n v="25555024"/>
    <n v="25568284"/>
    <n v="0"/>
    <n v="0"/>
    <n v="15537738"/>
    <n v="0"/>
    <n v="0"/>
    <n v="0"/>
    <n v="15826336"/>
    <n v="15826262"/>
    <n v="15914463"/>
    <n v="0"/>
    <n v="15953122"/>
    <n v="25555024"/>
    <n v="13260"/>
    <n v="0"/>
    <n v="0"/>
    <n v="341"/>
    <n v="0"/>
    <n v="0"/>
    <n v="0"/>
    <n v="292892"/>
    <n v="0"/>
    <n v="126786"/>
    <n v="0"/>
    <n v="420019"/>
  </r>
  <r>
    <n v="202607"/>
    <x v="1"/>
    <x v="17"/>
    <s v="知乎"/>
    <x v="17"/>
    <s v="应用工具"/>
    <s v="知识百科"/>
    <n v="159386507"/>
    <n v="136"/>
    <n v="159386371"/>
    <n v="0"/>
    <n v="158106053"/>
    <n v="159386288"/>
    <n v="0"/>
    <n v="0"/>
    <n v="1280379"/>
    <n v="0"/>
    <n v="0"/>
    <n v="0"/>
    <n v="121"/>
    <n v="29"/>
    <n v="8"/>
    <n v="0"/>
    <n v="158"/>
    <n v="158106053"/>
    <n v="1280235"/>
    <n v="0"/>
    <n v="0"/>
    <n v="147"/>
    <n v="0"/>
    <n v="0"/>
    <n v="0"/>
    <n v="35"/>
    <n v="29"/>
    <n v="8"/>
    <n v="0"/>
    <n v="219"/>
  </r>
  <r>
    <n v="202607"/>
    <x v="1"/>
    <x v="18"/>
    <s v="七猫免费小说"/>
    <x v="18"/>
    <s v="电子阅读"/>
    <s v="在线阅读"/>
    <n v="10232219"/>
    <n v="0"/>
    <n v="10232219"/>
    <n v="0"/>
    <n v="10051945"/>
    <n v="10230632"/>
    <n v="0"/>
    <n v="0"/>
    <n v="180229"/>
    <n v="0"/>
    <n v="0"/>
    <n v="0"/>
    <n v="1587"/>
    <n v="45"/>
    <n v="0"/>
    <n v="0"/>
    <n v="1587"/>
    <n v="10051945"/>
    <n v="178687"/>
    <n v="0"/>
    <n v="0"/>
    <n v="1542"/>
    <n v="0"/>
    <n v="0"/>
    <n v="0"/>
    <n v="45"/>
    <n v="0"/>
    <n v="0"/>
    <n v="0"/>
    <n v="1587"/>
  </r>
  <r>
    <n v="202607"/>
    <x v="1"/>
    <x v="19"/>
    <s v="支付宝"/>
    <x v="19"/>
    <s v="金融理财"/>
    <s v="理财贷款"/>
    <n v="121378308"/>
    <n v="13832"/>
    <n v="121364476"/>
    <n v="0"/>
    <n v="113177948"/>
    <n v="121356891"/>
    <n v="0"/>
    <n v="0"/>
    <n v="8187798"/>
    <n v="0"/>
    <n v="0"/>
    <n v="0"/>
    <n v="20147"/>
    <n v="0"/>
    <n v="0"/>
    <n v="0"/>
    <n v="20147"/>
    <n v="113177948"/>
    <n v="8179228"/>
    <n v="0"/>
    <n v="0"/>
    <n v="18948"/>
    <n v="0"/>
    <n v="0"/>
    <n v="0"/>
    <n v="2184"/>
    <n v="0"/>
    <n v="0"/>
    <n v="0"/>
    <n v="21132"/>
  </r>
  <r>
    <n v="202607"/>
    <x v="1"/>
    <x v="20"/>
    <s v="QQ浏览器"/>
    <x v="20"/>
    <s v="应用工具"/>
    <s v="浏览器"/>
    <n v="4838982"/>
    <n v="0"/>
    <n v="4838982"/>
    <n v="0"/>
    <n v="3516492"/>
    <n v="4838701"/>
    <n v="0"/>
    <n v="0"/>
    <n v="1322262"/>
    <n v="0"/>
    <n v="0"/>
    <n v="0"/>
    <n v="277"/>
    <n v="224"/>
    <n v="4"/>
    <n v="4"/>
    <n v="281"/>
    <n v="3516492"/>
    <n v="1322209"/>
    <n v="0"/>
    <n v="0"/>
    <n v="53"/>
    <n v="0"/>
    <n v="0"/>
    <n v="0"/>
    <n v="224"/>
    <n v="0"/>
    <n v="4"/>
    <n v="0"/>
    <n v="281"/>
  </r>
  <r>
    <n v="202607"/>
    <x v="1"/>
    <x v="21"/>
    <s v="腾讯新闻"/>
    <x v="21"/>
    <s v="综合资讯"/>
    <s v="新闻资讯"/>
    <n v="22126443"/>
    <n v="0"/>
    <n v="22126443"/>
    <n v="0"/>
    <n v="15841110"/>
    <n v="22125356"/>
    <n v="0"/>
    <n v="0"/>
    <n v="6285222"/>
    <n v="0"/>
    <n v="0"/>
    <n v="0"/>
    <n v="1060"/>
    <n v="87"/>
    <n v="27"/>
    <n v="24"/>
    <n v="1087"/>
    <n v="15841110"/>
    <n v="6284246"/>
    <n v="0"/>
    <n v="0"/>
    <n v="976"/>
    <n v="0"/>
    <n v="0"/>
    <n v="0"/>
    <n v="84"/>
    <n v="3"/>
    <n v="24"/>
    <n v="0"/>
    <n v="1087"/>
  </r>
  <r>
    <n v="202607"/>
    <x v="1"/>
    <x v="22"/>
    <s v="哔哩哔哩"/>
    <x v="22"/>
    <s v="视频服务"/>
    <s v="在线视频"/>
    <n v="323862297"/>
    <n v="1588671"/>
    <n v="322273626"/>
    <n v="0"/>
    <n v="322863431"/>
    <n v="323154066"/>
    <n v="0"/>
    <n v="0"/>
    <n v="117402"/>
    <n v="0"/>
    <n v="0"/>
    <n v="0"/>
    <n v="872"/>
    <n v="120"/>
    <n v="32"/>
    <n v="0"/>
    <n v="1024"/>
    <n v="322863431"/>
    <n v="894482"/>
    <n v="0"/>
    <n v="0"/>
    <n v="103391"/>
    <n v="0"/>
    <n v="0"/>
    <n v="0"/>
    <n v="841"/>
    <n v="120"/>
    <n v="32"/>
    <n v="0"/>
    <n v="104384"/>
  </r>
  <r>
    <n v="202607"/>
    <x v="1"/>
    <x v="23"/>
    <s v="字节跳动系"/>
    <x v="23"/>
    <s v="其他"/>
    <s v="其他"/>
    <n v="345555449"/>
    <n v="0"/>
    <n v="345555449"/>
    <n v="0"/>
    <n v="345499868"/>
    <n v="345555449"/>
    <n v="0"/>
    <n v="0"/>
    <n v="55581"/>
    <n v="0"/>
    <n v="0"/>
    <n v="0"/>
    <n v="0"/>
    <n v="0"/>
    <n v="0"/>
    <n v="0"/>
    <n v="0"/>
    <n v="345499868"/>
    <n v="55581"/>
    <n v="0"/>
    <n v="0"/>
    <n v="0"/>
    <n v="0"/>
    <n v="0"/>
    <n v="0"/>
    <n v="0"/>
    <n v="0"/>
    <n v="0"/>
    <n v="0"/>
    <n v="0"/>
  </r>
  <r>
    <n v="202607"/>
    <x v="1"/>
    <x v="23"/>
    <s v="铁路12306"/>
    <x v="24"/>
    <s v="旅游出行"/>
    <s v="机票/火车票/汽车票"/>
    <n v="44639604"/>
    <n v="0"/>
    <n v="44639604"/>
    <n v="0"/>
    <n v="44545868"/>
    <n v="44639604"/>
    <n v="0"/>
    <n v="0"/>
    <n v="93736"/>
    <n v="0"/>
    <n v="0"/>
    <n v="0"/>
    <n v="0"/>
    <n v="0"/>
    <n v="0"/>
    <n v="0"/>
    <n v="0"/>
    <n v="44545868"/>
    <n v="93736"/>
    <n v="0"/>
    <n v="0"/>
    <n v="0"/>
    <n v="0"/>
    <n v="0"/>
    <n v="0"/>
    <n v="0"/>
    <n v="0"/>
    <n v="0"/>
    <n v="0"/>
    <n v="0"/>
  </r>
  <r>
    <n v="202607"/>
    <x v="1"/>
    <x v="23"/>
    <s v="快手"/>
    <x v="25"/>
    <s v="视频服务"/>
    <s v="短视频"/>
    <n v="404112478"/>
    <n v="613"/>
    <n v="404111865"/>
    <n v="0"/>
    <n v="380321630"/>
    <n v="404111397"/>
    <n v="0"/>
    <n v="0"/>
    <n v="23790498"/>
    <n v="0"/>
    <n v="0"/>
    <n v="0"/>
    <n v="778"/>
    <n v="0"/>
    <n v="0"/>
    <n v="40"/>
    <n v="818"/>
    <n v="380321630"/>
    <n v="23789954"/>
    <n v="0"/>
    <n v="0"/>
    <n v="849"/>
    <n v="0"/>
    <n v="0"/>
    <n v="0"/>
    <n v="5"/>
    <n v="0"/>
    <n v="0"/>
    <n v="40"/>
    <n v="894"/>
  </r>
  <r>
    <n v="202607"/>
    <x v="1"/>
    <x v="23"/>
    <s v="高德地图"/>
    <x v="26"/>
    <s v="生活服务"/>
    <s v="出行导航"/>
    <n v="89015419"/>
    <n v="44"/>
    <n v="89015375"/>
    <n v="0"/>
    <n v="88550333"/>
    <n v="88609492"/>
    <n v="0"/>
    <n v="0"/>
    <n v="59711"/>
    <n v="0"/>
    <n v="0"/>
    <n v="0"/>
    <n v="405883"/>
    <n v="405331"/>
    <n v="44"/>
    <n v="0"/>
    <n v="405927"/>
    <n v="88550333"/>
    <n v="59159"/>
    <n v="0"/>
    <n v="0"/>
    <n v="552"/>
    <n v="0"/>
    <n v="0"/>
    <n v="0"/>
    <n v="405331"/>
    <n v="0"/>
    <n v="44"/>
    <n v="0"/>
    <n v="405927"/>
  </r>
  <r>
    <n v="202607"/>
    <x v="1"/>
    <x v="23"/>
    <s v="懂车帝"/>
    <x v="27"/>
    <s v="汽车垂媒"/>
    <s v="汽车资讯"/>
    <n v="5583128"/>
    <n v="0"/>
    <n v="5583128"/>
    <n v="0"/>
    <n v="5582955"/>
    <n v="5583098"/>
    <n v="0"/>
    <n v="0"/>
    <n v="173"/>
    <n v="0"/>
    <n v="0"/>
    <n v="0"/>
    <n v="30"/>
    <n v="0"/>
    <n v="0"/>
    <n v="0"/>
    <n v="30"/>
    <n v="5582955"/>
    <n v="143"/>
    <n v="0"/>
    <n v="0"/>
    <n v="30"/>
    <n v="0"/>
    <n v="0"/>
    <n v="0"/>
    <n v="0"/>
    <n v="0"/>
    <n v="0"/>
    <n v="0"/>
    <n v="30"/>
  </r>
  <r>
    <n v="202607"/>
    <x v="1"/>
    <x v="23"/>
    <s v="腾讯体育"/>
    <x v="28"/>
    <s v="综合资讯"/>
    <s v="体育资讯"/>
    <n v="8162079"/>
    <n v="0"/>
    <n v="8162079"/>
    <n v="0"/>
    <n v="7947967"/>
    <n v="8161966"/>
    <n v="0"/>
    <n v="0"/>
    <n v="214109"/>
    <n v="0"/>
    <n v="0"/>
    <n v="0"/>
    <n v="112"/>
    <n v="3"/>
    <n v="1"/>
    <n v="0"/>
    <n v="113"/>
    <n v="7947967"/>
    <n v="213999"/>
    <n v="0"/>
    <n v="0"/>
    <n v="110"/>
    <n v="0"/>
    <n v="0"/>
    <n v="0"/>
    <n v="2"/>
    <n v="1"/>
    <n v="0"/>
    <n v="0"/>
    <n v="113"/>
  </r>
  <r>
    <n v="202607"/>
    <x v="1"/>
    <x v="23"/>
    <m/>
    <x v="29"/>
    <m/>
    <m/>
    <n v="57717970"/>
    <n v="18600"/>
    <n v="56870296"/>
    <n v="829074"/>
    <n v="55948432"/>
    <n v="57220706"/>
    <n v="0"/>
    <n v="0"/>
    <n v="2125801"/>
    <n v="0"/>
    <n v="0"/>
    <n v="0"/>
    <n v="1287091"/>
    <n v="1255659"/>
    <n v="829164"/>
    <n v="0"/>
    <n v="1287181"/>
    <n v="55948432"/>
    <n v="1290632"/>
    <n v="0"/>
    <n v="0"/>
    <n v="31653"/>
    <n v="0"/>
    <n v="0"/>
    <n v="0"/>
    <n v="447163"/>
    <n v="0"/>
    <n v="90"/>
    <n v="0"/>
    <n v="478906"/>
  </r>
  <r>
    <n v="202607"/>
    <x v="1"/>
    <x v="23"/>
    <s v="有道词典"/>
    <x v="30"/>
    <s v="教育文化"/>
    <s v="学习工具"/>
    <n v="18617249"/>
    <n v="8317"/>
    <n v="18598507"/>
    <n v="10425"/>
    <n v="18429848"/>
    <n v="18607742"/>
    <n v="0"/>
    <n v="0"/>
    <n v="196629"/>
    <n v="0"/>
    <n v="0"/>
    <n v="0"/>
    <n v="12694"/>
    <n v="0"/>
    <n v="0"/>
    <n v="0"/>
    <n v="12694"/>
    <n v="18429848"/>
    <n v="184999"/>
    <n v="0"/>
    <n v="0"/>
    <n v="2356"/>
    <n v="0"/>
    <n v="0"/>
    <n v="0"/>
    <n v="46"/>
    <n v="0"/>
    <n v="0"/>
    <n v="0"/>
    <n v="2402"/>
  </r>
  <r>
    <n v="202607"/>
    <x v="1"/>
    <x v="23"/>
    <s v="QQ音乐"/>
    <x v="31"/>
    <s v="音乐综合"/>
    <s v="在线音乐"/>
    <n v="56079224"/>
    <n v="1"/>
    <n v="56079223"/>
    <n v="0"/>
    <n v="47151552"/>
    <n v="56076368"/>
    <n v="0"/>
    <n v="0"/>
    <n v="8926686"/>
    <n v="0"/>
    <n v="0"/>
    <n v="0"/>
    <n v="2738"/>
    <n v="894"/>
    <n v="118"/>
    <n v="91"/>
    <n v="2856"/>
    <n v="47151552"/>
    <n v="8924816"/>
    <n v="0"/>
    <n v="0"/>
    <n v="1870"/>
    <n v="0"/>
    <n v="0"/>
    <n v="0"/>
    <n v="868"/>
    <n v="26"/>
    <n v="92"/>
    <n v="0"/>
    <n v="2856"/>
  </r>
  <r>
    <n v="202607"/>
    <x v="1"/>
    <x v="23"/>
    <s v="酷狗音乐"/>
    <x v="32"/>
    <s v="音乐综合"/>
    <s v="在线音乐"/>
    <n v="4197649"/>
    <n v="0"/>
    <n v="4197649"/>
    <n v="0"/>
    <n v="4183373"/>
    <n v="4197593"/>
    <n v="0"/>
    <n v="0"/>
    <n v="14275"/>
    <n v="0"/>
    <n v="0"/>
    <n v="0"/>
    <n v="55"/>
    <n v="1"/>
    <n v="1"/>
    <n v="0"/>
    <n v="56"/>
    <n v="4183373"/>
    <n v="14220"/>
    <n v="0"/>
    <n v="0"/>
    <n v="55"/>
    <n v="0"/>
    <n v="0"/>
    <n v="0"/>
    <n v="0"/>
    <n v="1"/>
    <n v="0"/>
    <n v="0"/>
    <n v="56"/>
  </r>
  <r>
    <n v="202607"/>
    <x v="1"/>
    <x v="23"/>
    <s v="广点通"/>
    <x v="33"/>
    <s v="行业企业"/>
    <s v="广告联盟"/>
    <n v="23380103"/>
    <n v="0"/>
    <n v="23380103"/>
    <n v="0"/>
    <n v="16607367"/>
    <n v="23380103"/>
    <n v="0"/>
    <n v="0"/>
    <n v="6772736"/>
    <n v="0"/>
    <n v="0"/>
    <n v="0"/>
    <n v="0"/>
    <n v="0"/>
    <n v="0"/>
    <n v="0"/>
    <n v="0"/>
    <n v="16607367"/>
    <n v="6772736"/>
    <n v="0"/>
    <n v="0"/>
    <n v="0"/>
    <n v="0"/>
    <n v="0"/>
    <n v="0"/>
    <n v="0"/>
    <n v="0"/>
    <n v="0"/>
    <n v="0"/>
    <n v="0"/>
  </r>
  <r>
    <n v="202607"/>
    <x v="1"/>
    <x v="23"/>
    <s v="飞猪"/>
    <x v="34"/>
    <s v="旅游出行"/>
    <s v="在线旅游"/>
    <n v="17606500"/>
    <n v="831"/>
    <n v="17605669"/>
    <n v="0"/>
    <n v="17585791"/>
    <n v="17603610"/>
    <n v="0"/>
    <n v="0"/>
    <n v="18105"/>
    <n v="0"/>
    <n v="0"/>
    <n v="0"/>
    <n v="2794"/>
    <n v="1869"/>
    <n v="0"/>
    <n v="0"/>
    <n v="2794"/>
    <n v="17585791"/>
    <n v="17820"/>
    <n v="0"/>
    <n v="0"/>
    <n v="929"/>
    <n v="0"/>
    <n v="0"/>
    <n v="0"/>
    <n v="1960"/>
    <n v="0"/>
    <n v="0"/>
    <n v="0"/>
    <n v="2889"/>
  </r>
  <r>
    <n v="202607"/>
    <x v="1"/>
    <x v="23"/>
    <s v="美颜相机"/>
    <x v="35"/>
    <s v="拍摄美化"/>
    <s v="拍摄美化"/>
    <n v="14450575"/>
    <n v="737"/>
    <n v="14449838"/>
    <n v="0"/>
    <n v="13043824"/>
    <n v="14444788"/>
    <n v="0"/>
    <n v="0"/>
    <n v="1405925"/>
    <n v="0"/>
    <n v="0"/>
    <n v="0"/>
    <n v="5569"/>
    <n v="271"/>
    <n v="23"/>
    <n v="13"/>
    <n v="5592"/>
    <n v="13043824"/>
    <n v="1401012"/>
    <n v="0"/>
    <n v="0"/>
    <n v="5192"/>
    <n v="0"/>
    <n v="0"/>
    <n v="0"/>
    <n v="524"/>
    <n v="10"/>
    <n v="13"/>
    <n v="0"/>
    <n v="5739"/>
  </r>
  <r>
    <n v="202607"/>
    <x v="1"/>
    <x v="23"/>
    <s v="航旅纵横"/>
    <x v="36"/>
    <s v="旅游出行"/>
    <s v="机票/火车票/汽车票"/>
    <n v="17399248"/>
    <n v="0"/>
    <n v="17399248"/>
    <n v="0"/>
    <n v="15526933"/>
    <n v="17399083"/>
    <n v="0"/>
    <n v="0"/>
    <n v="1872315"/>
    <n v="0"/>
    <n v="0"/>
    <n v="0"/>
    <n v="165"/>
    <n v="0"/>
    <n v="0"/>
    <n v="0"/>
    <n v="165"/>
    <n v="15526933"/>
    <n v="1872150"/>
    <n v="0"/>
    <n v="0"/>
    <n v="165"/>
    <n v="0"/>
    <n v="0"/>
    <n v="0"/>
    <n v="0"/>
    <n v="0"/>
    <n v="0"/>
    <n v="0"/>
    <n v="165"/>
  </r>
  <r>
    <n v="202607"/>
    <x v="1"/>
    <x v="23"/>
    <s v="百度网盘"/>
    <x v="37"/>
    <s v="应用工具"/>
    <s v="邮箱网盘"/>
    <n v="2572157"/>
    <n v="3789"/>
    <n v="2568368"/>
    <n v="0"/>
    <n v="1528424"/>
    <n v="2570032"/>
    <n v="0"/>
    <n v="0"/>
    <n v="1041611"/>
    <n v="3"/>
    <n v="0"/>
    <n v="0"/>
    <n v="440"/>
    <n v="14"/>
    <n v="1"/>
    <n v="0"/>
    <n v="452"/>
    <n v="1528424"/>
    <n v="1041902"/>
    <n v="0"/>
    <n v="0"/>
    <n v="1769"/>
    <n v="3"/>
    <n v="0"/>
    <n v="0"/>
    <n v="53"/>
    <n v="5"/>
    <n v="1"/>
    <n v="0"/>
    <n v="1831"/>
  </r>
  <r>
    <n v="202607"/>
    <x v="1"/>
    <x v="23"/>
    <s v="WINK"/>
    <x v="38"/>
    <s v="拍摄美化"/>
    <s v="拍摄美化"/>
    <n v="1170683"/>
    <n v="0"/>
    <n v="1170683"/>
    <n v="0"/>
    <n v="1142699"/>
    <n v="1170678"/>
    <n v="0"/>
    <n v="0"/>
    <n v="27984"/>
    <n v="0"/>
    <n v="0"/>
    <n v="0"/>
    <n v="5"/>
    <n v="0"/>
    <n v="0"/>
    <n v="0"/>
    <n v="5"/>
    <n v="1142699"/>
    <n v="27979"/>
    <n v="0"/>
    <n v="0"/>
    <n v="5"/>
    <n v="0"/>
    <n v="0"/>
    <n v="0"/>
    <n v="0"/>
    <n v="0"/>
    <n v="0"/>
    <n v="0"/>
    <n v="5"/>
  </r>
  <r>
    <n v="202607"/>
    <x v="1"/>
    <x v="23"/>
    <s v="Soul"/>
    <x v="39"/>
    <s v="互动社交"/>
    <s v="聊天交友"/>
    <n v="2338163"/>
    <n v="0"/>
    <n v="2338163"/>
    <n v="0"/>
    <n v="2338163"/>
    <n v="2338163"/>
    <n v="0"/>
    <n v="0"/>
    <n v="0"/>
    <n v="0"/>
    <n v="0"/>
    <n v="0"/>
    <n v="0"/>
    <n v="0"/>
    <n v="0"/>
    <n v="0"/>
    <n v="0"/>
    <n v="2338163"/>
    <n v="0"/>
    <n v="0"/>
    <n v="0"/>
    <n v="0"/>
    <n v="0"/>
    <n v="0"/>
    <n v="0"/>
    <n v="0"/>
    <n v="0"/>
    <n v="0"/>
    <n v="0"/>
    <n v="0"/>
  </r>
  <r>
    <n v="202607"/>
    <x v="1"/>
    <x v="23"/>
    <s v="中国银联"/>
    <x v="40"/>
    <s v="金融理财"/>
    <s v="银行网站"/>
    <n v="4077617"/>
    <n v="90882"/>
    <n v="3986735"/>
    <n v="0"/>
    <n v="3526626"/>
    <n v="3990521"/>
    <n v="0"/>
    <n v="0"/>
    <n v="544797"/>
    <n v="0"/>
    <n v="0"/>
    <n v="0"/>
    <n v="2226"/>
    <n v="157"/>
    <n v="15"/>
    <n v="10"/>
    <n v="2241"/>
    <n v="3526626"/>
    <n v="548750"/>
    <n v="0"/>
    <n v="0"/>
    <n v="2073"/>
    <n v="0"/>
    <n v="0"/>
    <n v="0"/>
    <n v="153"/>
    <n v="4"/>
    <n v="11"/>
    <n v="0"/>
    <n v="2241"/>
  </r>
  <r>
    <n v="202607"/>
    <x v="1"/>
    <x v="23"/>
    <s v="效果通"/>
    <x v="41"/>
    <s v="行业企业"/>
    <s v="广告联盟"/>
    <n v="1315325"/>
    <n v="0"/>
    <n v="1315325"/>
    <n v="0"/>
    <n v="1314881"/>
    <n v="1315279"/>
    <n v="0"/>
    <n v="0"/>
    <n v="444"/>
    <n v="0"/>
    <n v="0"/>
    <n v="0"/>
    <n v="46"/>
    <n v="0"/>
    <n v="0"/>
    <n v="0"/>
    <n v="46"/>
    <n v="1314881"/>
    <n v="398"/>
    <n v="0"/>
    <n v="0"/>
    <n v="46"/>
    <n v="0"/>
    <n v="0"/>
    <n v="0"/>
    <n v="0"/>
    <n v="0"/>
    <n v="0"/>
    <n v="0"/>
    <n v="46"/>
  </r>
  <r>
    <n v="202607"/>
    <x v="1"/>
    <x v="23"/>
    <s v="DSP-慎用"/>
    <x v="42"/>
    <s v="行业企业"/>
    <s v="广告联盟"/>
    <n v="1708280"/>
    <n v="551013"/>
    <n v="1157267"/>
    <n v="0"/>
    <n v="1699017"/>
    <n v="1156983"/>
    <n v="0"/>
    <n v="0"/>
    <n v="9240"/>
    <n v="0"/>
    <n v="0"/>
    <n v="0"/>
    <n v="284"/>
    <n v="23"/>
    <n v="0"/>
    <n v="0"/>
    <n v="284"/>
    <n v="1699017"/>
    <n v="8979"/>
    <n v="0"/>
    <n v="0"/>
    <n v="261"/>
    <n v="0"/>
    <n v="0"/>
    <n v="0"/>
    <n v="23"/>
    <n v="0"/>
    <n v="0"/>
    <n v="0"/>
    <n v="284"/>
  </r>
  <r>
    <n v="202607"/>
    <x v="1"/>
    <x v="23"/>
    <s v="虎扑"/>
    <x v="43"/>
    <s v="综合资讯"/>
    <s v="体育资讯"/>
    <n v="611995"/>
    <n v="0"/>
    <n v="611995"/>
    <n v="0"/>
    <n v="136580"/>
    <n v="611829"/>
    <n v="0"/>
    <n v="0"/>
    <n v="475415"/>
    <n v="0"/>
    <n v="0"/>
    <n v="0"/>
    <n v="166"/>
    <n v="0"/>
    <n v="0"/>
    <n v="0"/>
    <n v="166"/>
    <n v="136580"/>
    <n v="475249"/>
    <n v="0"/>
    <n v="0"/>
    <n v="166"/>
    <n v="0"/>
    <n v="0"/>
    <n v="0"/>
    <n v="0"/>
    <n v="0"/>
    <n v="0"/>
    <n v="0"/>
    <n v="166"/>
  </r>
  <r>
    <n v="202607"/>
    <x v="1"/>
    <x v="23"/>
    <s v="哈啰"/>
    <x v="44"/>
    <s v="生活服务"/>
    <s v="出行导航"/>
    <n v="7082013"/>
    <n v="0"/>
    <n v="7082013"/>
    <n v="0"/>
    <n v="641673"/>
    <n v="3663203"/>
    <n v="0"/>
    <n v="0"/>
    <n v="6440340"/>
    <n v="0"/>
    <n v="0"/>
    <n v="0"/>
    <n v="3418810"/>
    <n v="0"/>
    <n v="0"/>
    <n v="0"/>
    <n v="3418810"/>
    <n v="641673"/>
    <n v="3021530"/>
    <n v="0"/>
    <n v="0"/>
    <n v="3418810"/>
    <n v="0"/>
    <n v="0"/>
    <n v="0"/>
    <n v="0"/>
    <n v="0"/>
    <n v="0"/>
    <n v="0"/>
    <n v="3418810"/>
  </r>
  <r>
    <n v="202607"/>
    <x v="1"/>
    <x v="23"/>
    <s v="品友互动"/>
    <x v="45"/>
    <s v="行业企业"/>
    <s v="广告联盟"/>
    <n v="779977"/>
    <n v="327507"/>
    <n v="452470"/>
    <n v="0"/>
    <n v="562470"/>
    <n v="603947"/>
    <n v="0"/>
    <n v="0"/>
    <n v="66000"/>
    <n v="0"/>
    <n v="0"/>
    <n v="0"/>
    <n v="30"/>
    <n v="0"/>
    <n v="0"/>
    <n v="0"/>
    <n v="30"/>
    <n v="562470"/>
    <n v="217463"/>
    <n v="0"/>
    <n v="0"/>
    <n v="35"/>
    <n v="0"/>
    <n v="0"/>
    <n v="0"/>
    <n v="9"/>
    <n v="0"/>
    <n v="0"/>
    <n v="0"/>
    <n v="44"/>
  </r>
  <r>
    <n v="202607"/>
    <x v="1"/>
    <x v="23"/>
    <s v="悠易互通"/>
    <x v="46"/>
    <s v="行业企业"/>
    <s v="广告联盟"/>
    <n v="385135"/>
    <n v="32317"/>
    <n v="352817"/>
    <n v="1"/>
    <n v="312251"/>
    <n v="354562"/>
    <n v="0"/>
    <n v="0"/>
    <n v="70367"/>
    <n v="0"/>
    <n v="0"/>
    <n v="0"/>
    <n v="512"/>
    <n v="262"/>
    <n v="1"/>
    <n v="0"/>
    <n v="512"/>
    <n v="312251"/>
    <n v="72372"/>
    <n v="0"/>
    <n v="0"/>
    <n v="251"/>
    <n v="0"/>
    <n v="0"/>
    <n v="0"/>
    <n v="261"/>
    <n v="0"/>
    <n v="0"/>
    <n v="0"/>
    <n v="512"/>
  </r>
  <r>
    <n v="202607"/>
    <x v="1"/>
    <x v="23"/>
    <s v="网易有道"/>
    <x v="47"/>
    <s v="教育文化"/>
    <s v="学习工具"/>
    <n v="2089956"/>
    <n v="1"/>
    <n v="2089955"/>
    <n v="0"/>
    <n v="2032146"/>
    <n v="2089953"/>
    <n v="0"/>
    <n v="0"/>
    <n v="57810"/>
    <n v="0"/>
    <n v="0"/>
    <n v="0"/>
    <n v="2"/>
    <n v="0"/>
    <n v="0"/>
    <n v="0"/>
    <n v="2"/>
    <n v="2032146"/>
    <n v="57807"/>
    <n v="0"/>
    <n v="0"/>
    <n v="3"/>
    <n v="0"/>
    <n v="0"/>
    <n v="0"/>
    <n v="0"/>
    <n v="0"/>
    <n v="0"/>
    <n v="0"/>
    <n v="3"/>
  </r>
  <r>
    <n v="202607"/>
    <x v="1"/>
    <x v="23"/>
    <s v="网易新闻"/>
    <x v="48"/>
    <s v="综合资讯"/>
    <s v="新闻资讯"/>
    <n v="533556"/>
    <n v="10468"/>
    <n v="523088"/>
    <n v="0"/>
    <n v="527604"/>
    <n v="523467"/>
    <n v="0"/>
    <n v="0"/>
    <n v="4494"/>
    <n v="0"/>
    <n v="0"/>
    <n v="0"/>
    <n v="853"/>
    <n v="226"/>
    <n v="0"/>
    <n v="0"/>
    <n v="853"/>
    <n v="527604"/>
    <n v="4787"/>
    <n v="0"/>
    <n v="0"/>
    <n v="327"/>
    <n v="0"/>
    <n v="0"/>
    <n v="0"/>
    <n v="838"/>
    <n v="0"/>
    <n v="0"/>
    <n v="0"/>
    <n v="1165"/>
  </r>
  <r>
    <n v="202607"/>
    <x v="1"/>
    <x v="23"/>
    <s v="联想DSP"/>
    <x v="49"/>
    <s v="行业企业"/>
    <s v="广告联盟"/>
    <n v="2706768"/>
    <n v="0"/>
    <n v="2644474"/>
    <n v="62294"/>
    <n v="2701428"/>
    <n v="2706368"/>
    <n v="0"/>
    <n v="0"/>
    <n v="66561"/>
    <n v="0"/>
    <n v="0"/>
    <n v="0"/>
    <n v="62325"/>
    <n v="62298"/>
    <n v="62294"/>
    <n v="0"/>
    <n v="62325"/>
    <n v="2701428"/>
    <n v="4940"/>
    <n v="0"/>
    <n v="0"/>
    <n v="41"/>
    <n v="0"/>
    <n v="0"/>
    <n v="0"/>
    <n v="359"/>
    <n v="0"/>
    <n v="0"/>
    <n v="0"/>
    <n v="400"/>
  </r>
  <r>
    <n v="202607"/>
    <x v="1"/>
    <x v="23"/>
    <s v="其他"/>
    <x v="29"/>
    <s v="其他"/>
    <s v="其他"/>
    <n v="1153198"/>
    <n v="101801"/>
    <n v="1051202"/>
    <n v="195"/>
    <n v="825796"/>
    <n v="1061479"/>
    <n v="0"/>
    <n v="0"/>
    <n v="304720"/>
    <n v="0"/>
    <n v="0"/>
    <n v="0"/>
    <n v="9172"/>
    <n v="3458"/>
    <n v="198"/>
    <n v="1"/>
    <n v="9175"/>
    <n v="825796"/>
    <n v="314500"/>
    <n v="0"/>
    <n v="0"/>
    <n v="9402"/>
    <n v="0"/>
    <n v="0"/>
    <n v="0"/>
    <n v="3497"/>
    <n v="0"/>
    <n v="3"/>
    <n v="0"/>
    <n v="12902"/>
  </r>
  <r>
    <n v="202607"/>
    <x v="1"/>
    <x v="23"/>
    <s v="中国大学慕课"/>
    <x v="50"/>
    <s v="教育文化"/>
    <s v="学习工具"/>
    <n v="1396551"/>
    <n v="0"/>
    <n v="1396551"/>
    <n v="0"/>
    <n v="1395563"/>
    <n v="1396551"/>
    <n v="0"/>
    <n v="0"/>
    <n v="988"/>
    <n v="0"/>
    <n v="0"/>
    <n v="0"/>
    <n v="0"/>
    <n v="0"/>
    <n v="0"/>
    <n v="0"/>
    <n v="0"/>
    <n v="1395563"/>
    <n v="988"/>
    <n v="0"/>
    <n v="0"/>
    <n v="0"/>
    <n v="0"/>
    <n v="0"/>
    <n v="0"/>
    <n v="0"/>
    <n v="0"/>
    <n v="0"/>
    <n v="0"/>
    <n v="0"/>
  </r>
  <r>
    <n v="202607"/>
    <x v="1"/>
    <x v="23"/>
    <s v="去哪儿"/>
    <x v="51"/>
    <s v="旅游出行"/>
    <s v="在线旅游"/>
    <n v="361979"/>
    <n v="763"/>
    <n v="361216"/>
    <n v="0"/>
    <n v="177429"/>
    <n v="358344"/>
    <n v="0"/>
    <n v="0"/>
    <n v="184191"/>
    <n v="0"/>
    <n v="0"/>
    <n v="0"/>
    <n v="3229"/>
    <n v="2"/>
    <n v="0"/>
    <n v="0"/>
    <n v="3229"/>
    <n v="177429"/>
    <n v="180919"/>
    <n v="0"/>
    <n v="0"/>
    <n v="3629"/>
    <n v="0"/>
    <n v="0"/>
    <n v="0"/>
    <n v="2"/>
    <n v="0"/>
    <n v="0"/>
    <n v="0"/>
    <n v="3631"/>
  </r>
  <r>
    <n v="202607"/>
    <x v="1"/>
    <x v="23"/>
    <s v="汽水音乐"/>
    <x v="52"/>
    <s v="音乐综合"/>
    <s v="在线音乐"/>
    <n v="449918"/>
    <n v="1034"/>
    <n v="448884"/>
    <n v="0"/>
    <n v="440108"/>
    <n v="444515"/>
    <n v="0"/>
    <n v="0"/>
    <n v="8689"/>
    <n v="0"/>
    <n v="0"/>
    <n v="0"/>
    <n v="5065"/>
    <n v="425"/>
    <n v="0"/>
    <n v="0"/>
    <n v="5065"/>
    <n v="440108"/>
    <n v="4498"/>
    <n v="0"/>
    <n v="0"/>
    <n v="4541"/>
    <n v="0"/>
    <n v="0"/>
    <n v="0"/>
    <n v="771"/>
    <n v="0"/>
    <n v="0"/>
    <n v="0"/>
    <n v="5312"/>
  </r>
  <r>
    <n v="202607"/>
    <x v="1"/>
    <x v="23"/>
    <s v="网易"/>
    <x v="53"/>
    <s v="综合资讯"/>
    <s v="综合门户"/>
    <n v="718548"/>
    <n v="3"/>
    <n v="718545"/>
    <n v="0"/>
    <n v="235149"/>
    <n v="718188"/>
    <n v="0"/>
    <n v="0"/>
    <n v="483383"/>
    <n v="0"/>
    <n v="0"/>
    <n v="0"/>
    <n v="357"/>
    <n v="13"/>
    <n v="3"/>
    <n v="0"/>
    <n v="360"/>
    <n v="235149"/>
    <n v="483039"/>
    <n v="0"/>
    <n v="0"/>
    <n v="344"/>
    <n v="0"/>
    <n v="0"/>
    <n v="0"/>
    <n v="13"/>
    <n v="0"/>
    <n v="3"/>
    <n v="0"/>
    <n v="360"/>
  </r>
  <r>
    <n v="202607"/>
    <x v="1"/>
    <x v="23"/>
    <s v="墨迹天气"/>
    <x v="54"/>
    <s v="应用工具"/>
    <s v="便捷生活工具"/>
    <n v="275191"/>
    <n v="442"/>
    <n v="274749"/>
    <n v="0"/>
    <n v="268116"/>
    <n v="274175"/>
    <n v="0"/>
    <n v="0"/>
    <n v="6061"/>
    <n v="0"/>
    <n v="0"/>
    <n v="0"/>
    <n v="838"/>
    <n v="748"/>
    <n v="2"/>
    <n v="0"/>
    <n v="840"/>
    <n v="268116"/>
    <n v="6135"/>
    <n v="0"/>
    <n v="0"/>
    <n v="112"/>
    <n v="0"/>
    <n v="0"/>
    <n v="0"/>
    <n v="826"/>
    <n v="0"/>
    <n v="2"/>
    <n v="0"/>
    <n v="940"/>
  </r>
  <r>
    <n v="202607"/>
    <x v="1"/>
    <x v="23"/>
    <s v="新浪新闻"/>
    <x v="55"/>
    <s v="综合资讯"/>
    <s v="新闻资讯"/>
    <n v="91870"/>
    <n v="423"/>
    <n v="91447"/>
    <n v="0"/>
    <n v="84881"/>
    <n v="90950"/>
    <n v="0"/>
    <n v="0"/>
    <n v="5977"/>
    <n v="0"/>
    <n v="0"/>
    <n v="0"/>
    <n v="768"/>
    <n v="740"/>
    <n v="1"/>
    <n v="0"/>
    <n v="769"/>
    <n v="84881"/>
    <n v="6160"/>
    <n v="0"/>
    <n v="0"/>
    <n v="75"/>
    <n v="0"/>
    <n v="0"/>
    <n v="0"/>
    <n v="753"/>
    <n v="0"/>
    <n v="1"/>
    <n v="0"/>
    <n v="829"/>
  </r>
  <r>
    <n v="202607"/>
    <x v="1"/>
    <x v="23"/>
    <s v="KEEP"/>
    <x v="56"/>
    <s v="健康医疗"/>
    <s v="运动健身"/>
    <n v="363688"/>
    <n v="285102"/>
    <n v="78586"/>
    <n v="0"/>
    <n v="251576"/>
    <n v="189508"/>
    <n v="0"/>
    <n v="0"/>
    <n v="1042"/>
    <n v="0"/>
    <n v="0"/>
    <n v="0"/>
    <n v="148"/>
    <n v="0"/>
    <n v="0"/>
    <n v="0"/>
    <n v="148"/>
    <n v="251576"/>
    <n v="111959"/>
    <n v="0"/>
    <n v="0"/>
    <n v="153"/>
    <n v="0"/>
    <n v="0"/>
    <n v="0"/>
    <n v="0"/>
    <n v="0"/>
    <n v="0"/>
    <n v="0"/>
    <n v="153"/>
  </r>
  <r>
    <n v="202607"/>
    <x v="1"/>
    <x v="23"/>
    <s v="豆瓣"/>
    <x v="57"/>
    <s v="互动社交"/>
    <s v="社区分享"/>
    <n v="814590"/>
    <n v="678"/>
    <n v="813912"/>
    <n v="0"/>
    <n v="807257"/>
    <n v="813903"/>
    <n v="0"/>
    <n v="0"/>
    <n v="6673"/>
    <n v="0"/>
    <n v="0"/>
    <n v="0"/>
    <n v="485"/>
    <n v="184"/>
    <n v="0"/>
    <n v="0"/>
    <n v="485"/>
    <n v="807257"/>
    <n v="6698"/>
    <n v="0"/>
    <n v="0"/>
    <n v="164"/>
    <n v="0"/>
    <n v="0"/>
    <n v="0"/>
    <n v="471"/>
    <n v="0"/>
    <n v="0"/>
    <n v="0"/>
    <n v="635"/>
  </r>
  <r>
    <n v="202607"/>
    <x v="1"/>
    <x v="23"/>
    <s v="剪映"/>
    <x v="58"/>
    <s v="视频服务"/>
    <s v="视频服务其他"/>
    <n v="207194"/>
    <n v="137634"/>
    <n v="69560"/>
    <n v="0"/>
    <n v="64110"/>
    <n v="200550"/>
    <n v="0"/>
    <n v="0"/>
    <n v="11237"/>
    <n v="0"/>
    <n v="0"/>
    <n v="0"/>
    <n v="630"/>
    <n v="227"/>
    <n v="0"/>
    <n v="0"/>
    <n v="630"/>
    <n v="64110"/>
    <n v="136487"/>
    <n v="0"/>
    <n v="0"/>
    <n v="5982"/>
    <n v="0"/>
    <n v="0"/>
    <n v="0"/>
    <n v="615"/>
    <n v="0"/>
    <n v="0"/>
    <n v="0"/>
    <n v="6597"/>
  </r>
  <r>
    <n v="202607"/>
    <x v="1"/>
    <x v="23"/>
    <s v="咪咕视频"/>
    <x v="59"/>
    <s v="视频服务"/>
    <s v="在线视频"/>
    <n v="46550"/>
    <n v="0"/>
    <n v="46550"/>
    <n v="0"/>
    <n v="0"/>
    <n v="46550"/>
    <n v="0"/>
    <n v="0"/>
    <n v="46550"/>
    <n v="0"/>
    <n v="0"/>
    <n v="0"/>
    <n v="0"/>
    <n v="0"/>
    <n v="0"/>
    <n v="0"/>
    <n v="0"/>
    <n v="0"/>
    <n v="46550"/>
    <n v="0"/>
    <n v="0"/>
    <n v="0"/>
    <n v="0"/>
    <n v="0"/>
    <n v="0"/>
    <n v="0"/>
    <n v="0"/>
    <n v="0"/>
    <n v="0"/>
    <n v="0"/>
  </r>
  <r>
    <n v="202607"/>
    <x v="1"/>
    <x v="23"/>
    <s v="Line"/>
    <x v="60"/>
    <s v="互动社交"/>
    <s v="聊天交友"/>
    <n v="225474"/>
    <n v="70034"/>
    <n v="155440"/>
    <n v="0"/>
    <n v="135489"/>
    <n v="168244"/>
    <n v="0"/>
    <n v="0"/>
    <n v="77128"/>
    <n v="0"/>
    <n v="0"/>
    <n v="0"/>
    <n v="46"/>
    <n v="7"/>
    <n v="0"/>
    <n v="0"/>
    <n v="53"/>
    <n v="135489"/>
    <n v="89876"/>
    <n v="0"/>
    <n v="0"/>
    <n v="88"/>
    <n v="0"/>
    <n v="0"/>
    <n v="0"/>
    <n v="16"/>
    <n v="5"/>
    <n v="0"/>
    <n v="0"/>
    <n v="109"/>
  </r>
  <r>
    <n v="202607"/>
    <x v="1"/>
    <x v="23"/>
    <s v="航班管家"/>
    <x v="61"/>
    <s v="生活服务"/>
    <s v="出行导航"/>
    <n v="46292"/>
    <n v="944"/>
    <n v="45348"/>
    <n v="0"/>
    <n v="42360"/>
    <n v="45253"/>
    <n v="0"/>
    <n v="0"/>
    <n v="2839"/>
    <n v="0"/>
    <n v="0"/>
    <n v="0"/>
    <n v="793"/>
    <n v="395"/>
    <n v="0"/>
    <n v="0"/>
    <n v="793"/>
    <n v="42360"/>
    <n v="2956"/>
    <n v="0"/>
    <n v="0"/>
    <n v="202"/>
    <n v="0"/>
    <n v="0"/>
    <n v="0"/>
    <n v="774"/>
    <n v="0"/>
    <n v="0"/>
    <n v="0"/>
    <n v="976"/>
  </r>
  <r>
    <n v="202607"/>
    <x v="1"/>
    <x v="23"/>
    <s v="凤凰新闻"/>
    <x v="62"/>
    <s v="综合资讯"/>
    <s v="新闻资讯"/>
    <n v="58865"/>
    <n v="1043"/>
    <n v="57822"/>
    <n v="0"/>
    <n v="52509"/>
    <n v="58009"/>
    <n v="0"/>
    <n v="0"/>
    <n v="5445"/>
    <n v="0"/>
    <n v="0"/>
    <n v="0"/>
    <n v="591"/>
    <n v="132"/>
    <n v="1"/>
    <n v="0"/>
    <n v="592"/>
    <n v="52509"/>
    <n v="5570"/>
    <n v="0"/>
    <n v="0"/>
    <n v="219"/>
    <n v="0"/>
    <n v="0"/>
    <n v="0"/>
    <n v="566"/>
    <n v="0"/>
    <n v="1"/>
    <n v="0"/>
    <n v="786"/>
  </r>
  <r>
    <n v="202607"/>
    <x v="1"/>
    <x v="23"/>
    <s v="有道翻译官"/>
    <x v="63"/>
    <s v="教育文化"/>
    <s v="学习工具"/>
    <n v="60119"/>
    <n v="766"/>
    <n v="59353"/>
    <n v="0"/>
    <n v="56881"/>
    <n v="59370"/>
    <n v="0"/>
    <n v="0"/>
    <n v="2515"/>
    <n v="0"/>
    <n v="0"/>
    <n v="0"/>
    <n v="516"/>
    <n v="190"/>
    <n v="0"/>
    <n v="0"/>
    <n v="516"/>
    <n v="56881"/>
    <n v="2542"/>
    <n v="0"/>
    <n v="0"/>
    <n v="193"/>
    <n v="0"/>
    <n v="0"/>
    <n v="0"/>
    <n v="503"/>
    <n v="0"/>
    <n v="0"/>
    <n v="0"/>
    <n v="696"/>
  </r>
  <r>
    <n v="202607"/>
    <x v="1"/>
    <x v="23"/>
    <s v="新数网络"/>
    <x v="64"/>
    <s v="行业企业"/>
    <s v="广告联盟"/>
    <n v="190942"/>
    <n v="0"/>
    <n v="190942"/>
    <n v="0"/>
    <n v="87972"/>
    <n v="190787"/>
    <n v="0"/>
    <n v="0"/>
    <n v="102960"/>
    <n v="0"/>
    <n v="0"/>
    <n v="0"/>
    <n v="155"/>
    <n v="10"/>
    <n v="0"/>
    <n v="0"/>
    <n v="155"/>
    <n v="87972"/>
    <n v="102815"/>
    <n v="0"/>
    <n v="0"/>
    <n v="145"/>
    <n v="0"/>
    <n v="0"/>
    <n v="0"/>
    <n v="10"/>
    <n v="0"/>
    <n v="0"/>
    <n v="0"/>
    <n v="155"/>
  </r>
  <r>
    <n v="202607"/>
    <x v="1"/>
    <x v="23"/>
    <s v="醒图"/>
    <x v="65"/>
    <s v="拍摄美化"/>
    <s v="拍摄美化"/>
    <n v="156915"/>
    <n v="126233"/>
    <n v="30682"/>
    <n v="0"/>
    <n v="27768"/>
    <n v="148768"/>
    <n v="0"/>
    <n v="0"/>
    <n v="7911"/>
    <n v="0"/>
    <n v="0"/>
    <n v="0"/>
    <n v="3024"/>
    <n v="126"/>
    <n v="0"/>
    <n v="0"/>
    <n v="3024"/>
    <n v="27768"/>
    <n v="121049"/>
    <n v="0"/>
    <n v="0"/>
    <n v="5085"/>
    <n v="0"/>
    <n v="0"/>
    <n v="0"/>
    <n v="3013"/>
    <n v="0"/>
    <n v="0"/>
    <n v="0"/>
    <n v="8098"/>
  </r>
  <r>
    <n v="202607"/>
    <x v="1"/>
    <x v="23"/>
    <s v="直播吧"/>
    <x v="66"/>
    <s v="视频服务"/>
    <s v="电视/网络直播"/>
    <n v="67461"/>
    <n v="1890"/>
    <n v="65571"/>
    <n v="0"/>
    <n v="67277"/>
    <n v="65649"/>
    <n v="0"/>
    <n v="0"/>
    <n v="96"/>
    <n v="0"/>
    <n v="0"/>
    <n v="0"/>
    <n v="10"/>
    <n v="0"/>
    <n v="0"/>
    <n v="0"/>
    <n v="10"/>
    <n v="67277"/>
    <n v="174"/>
    <n v="0"/>
    <n v="0"/>
    <n v="10"/>
    <n v="0"/>
    <n v="0"/>
    <n v="0"/>
    <n v="0"/>
    <n v="0"/>
    <n v="0"/>
    <n v="0"/>
    <n v="10"/>
  </r>
  <r>
    <n v="202607"/>
    <x v="1"/>
    <x v="23"/>
    <s v="下厨房"/>
    <x v="67"/>
    <s v="生活服务"/>
    <s v="餐饮美食"/>
    <n v="6359"/>
    <n v="6359"/>
    <n v="0"/>
    <n v="0"/>
    <n v="6359"/>
    <n v="0"/>
    <n v="0"/>
    <n v="0"/>
    <n v="0"/>
    <n v="0"/>
    <n v="0"/>
    <n v="0"/>
    <n v="0"/>
    <n v="0"/>
    <n v="0"/>
    <n v="0"/>
    <n v="0"/>
    <n v="6359"/>
    <n v="0"/>
    <n v="0"/>
    <n v="0"/>
    <n v="0"/>
    <n v="0"/>
    <n v="0"/>
    <n v="0"/>
    <n v="0"/>
    <n v="0"/>
    <n v="0"/>
    <n v="0"/>
    <n v="0"/>
  </r>
  <r>
    <n v="202607"/>
    <x v="1"/>
    <x v="23"/>
    <s v="UC浏览器"/>
    <x v="68"/>
    <s v="应用工具"/>
    <s v="浏览器"/>
    <n v="8518"/>
    <n v="22"/>
    <n v="5"/>
    <n v="8491"/>
    <n v="7785"/>
    <n v="7790"/>
    <n v="0"/>
    <n v="0"/>
    <n v="7790"/>
    <n v="0"/>
    <n v="0"/>
    <n v="0"/>
    <n v="8496"/>
    <n v="8496"/>
    <n v="8513"/>
    <n v="0"/>
    <n v="8518"/>
    <n v="7785"/>
    <n v="5"/>
    <n v="0"/>
    <n v="0"/>
    <n v="0"/>
    <n v="0"/>
    <n v="0"/>
    <n v="0"/>
    <n v="706"/>
    <n v="0"/>
    <n v="22"/>
    <n v="0"/>
    <n v="728"/>
  </r>
  <r>
    <n v="202607"/>
    <x v="1"/>
    <x v="23"/>
    <s v="乐乎"/>
    <x v="69"/>
    <s v="互动社交"/>
    <s v="社区分享"/>
    <n v="10838"/>
    <n v="0"/>
    <n v="10838"/>
    <n v="0"/>
    <n v="10838"/>
    <n v="10838"/>
    <n v="0"/>
    <n v="0"/>
    <n v="0"/>
    <n v="0"/>
    <n v="0"/>
    <n v="0"/>
    <n v="0"/>
    <n v="0"/>
    <n v="0"/>
    <n v="0"/>
    <n v="0"/>
    <n v="10838"/>
    <n v="0"/>
    <n v="0"/>
    <n v="0"/>
    <n v="0"/>
    <n v="0"/>
    <n v="0"/>
    <n v="0"/>
    <n v="0"/>
    <n v="0"/>
    <n v="0"/>
    <n v="0"/>
    <n v="0"/>
  </r>
  <r>
    <n v="202607"/>
    <x v="1"/>
    <x v="23"/>
    <s v="懂球帝"/>
    <x v="70"/>
    <s v="综合资讯"/>
    <s v="体育资讯"/>
    <n v="1969"/>
    <n v="0"/>
    <n v="1969"/>
    <n v="0"/>
    <n v="1957"/>
    <n v="1969"/>
    <n v="0"/>
    <n v="0"/>
    <n v="12"/>
    <n v="0"/>
    <n v="0"/>
    <n v="0"/>
    <n v="0"/>
    <n v="0"/>
    <n v="0"/>
    <n v="0"/>
    <n v="0"/>
    <n v="1957"/>
    <n v="12"/>
    <n v="0"/>
    <n v="0"/>
    <n v="0"/>
    <n v="0"/>
    <n v="0"/>
    <n v="0"/>
    <n v="0"/>
    <n v="0"/>
    <n v="0"/>
    <n v="0"/>
    <n v="0"/>
  </r>
  <r>
    <n v="202607"/>
    <x v="1"/>
    <x v="23"/>
    <s v="腾讯文档"/>
    <x v="71"/>
    <s v="应用工具"/>
    <s v="效率办公"/>
    <n v="1721"/>
    <n v="0"/>
    <n v="1721"/>
    <n v="0"/>
    <n v="871"/>
    <n v="1721"/>
    <n v="0"/>
    <n v="0"/>
    <n v="850"/>
    <n v="0"/>
    <n v="0"/>
    <n v="0"/>
    <n v="0"/>
    <n v="0"/>
    <n v="0"/>
    <n v="0"/>
    <n v="0"/>
    <n v="871"/>
    <n v="850"/>
    <n v="0"/>
    <n v="0"/>
    <n v="0"/>
    <n v="0"/>
    <n v="0"/>
    <n v="0"/>
    <n v="0"/>
    <n v="0"/>
    <n v="0"/>
    <n v="0"/>
    <n v="0"/>
  </r>
  <r>
    <n v="202607"/>
    <x v="1"/>
    <x v="23"/>
    <s v="wifi万能钥匙"/>
    <x v="72"/>
    <s v="应用工具"/>
    <s v="便捷生活工具"/>
    <n v="1746"/>
    <n v="0"/>
    <n v="1746"/>
    <n v="0"/>
    <n v="1697"/>
    <n v="1743"/>
    <n v="0"/>
    <n v="0"/>
    <n v="49"/>
    <n v="0"/>
    <n v="0"/>
    <n v="0"/>
    <n v="3"/>
    <n v="0"/>
    <n v="0"/>
    <n v="0"/>
    <n v="3"/>
    <n v="1697"/>
    <n v="46"/>
    <n v="0"/>
    <n v="0"/>
    <n v="3"/>
    <n v="0"/>
    <n v="0"/>
    <n v="0"/>
    <n v="0"/>
    <n v="0"/>
    <n v="0"/>
    <n v="0"/>
    <n v="3"/>
  </r>
  <r>
    <n v="202607"/>
    <x v="1"/>
    <x v="23"/>
    <s v="全民K歌"/>
    <x v="73"/>
    <s v="音乐综合"/>
    <s v="网络K歌"/>
    <n v="989"/>
    <n v="0"/>
    <n v="989"/>
    <n v="0"/>
    <n v="0"/>
    <n v="976"/>
    <n v="0"/>
    <n v="0"/>
    <n v="989"/>
    <n v="0"/>
    <n v="0"/>
    <n v="0"/>
    <n v="13"/>
    <n v="0"/>
    <n v="0"/>
    <n v="0"/>
    <n v="13"/>
    <n v="0"/>
    <n v="976"/>
    <n v="0"/>
    <n v="0"/>
    <n v="13"/>
    <n v="0"/>
    <n v="0"/>
    <n v="0"/>
    <n v="0"/>
    <n v="0"/>
    <n v="0"/>
    <n v="0"/>
    <n v="13"/>
  </r>
  <r>
    <n v="202607"/>
    <x v="1"/>
    <x v="23"/>
    <s v="虎牙直播"/>
    <x v="74"/>
    <s v="游戏服务"/>
    <s v="其他游戏服务"/>
    <n v="600"/>
    <n v="0"/>
    <n v="600"/>
    <n v="0"/>
    <n v="0"/>
    <n v="444"/>
    <n v="0"/>
    <n v="0"/>
    <n v="597"/>
    <n v="0"/>
    <n v="0"/>
    <n v="0"/>
    <n v="156"/>
    <n v="3"/>
    <n v="0"/>
    <n v="0"/>
    <n v="156"/>
    <n v="0"/>
    <n v="444"/>
    <n v="0"/>
    <n v="0"/>
    <n v="153"/>
    <n v="0"/>
    <n v="0"/>
    <n v="0"/>
    <n v="3"/>
    <n v="0"/>
    <n v="0"/>
    <n v="0"/>
    <n v="156"/>
  </r>
  <r>
    <n v="202607"/>
    <x v="1"/>
    <x v="23"/>
    <s v="桔柚"/>
    <x v="75"/>
    <s v="音乐综合"/>
    <s v="在线音乐"/>
    <n v="41"/>
    <n v="0"/>
    <n v="41"/>
    <n v="0"/>
    <n v="0"/>
    <n v="41"/>
    <n v="0"/>
    <n v="0"/>
    <n v="41"/>
    <n v="0"/>
    <n v="0"/>
    <n v="0"/>
    <n v="0"/>
    <n v="0"/>
    <n v="0"/>
    <n v="0"/>
    <n v="0"/>
    <n v="0"/>
    <n v="41"/>
    <n v="0"/>
    <n v="0"/>
    <n v="0"/>
    <n v="0"/>
    <n v="0"/>
    <n v="0"/>
    <n v="0"/>
    <n v="0"/>
    <n v="0"/>
    <n v="0"/>
    <n v="0"/>
  </r>
  <r>
    <n v="202607"/>
    <x v="1"/>
    <x v="23"/>
    <s v="QQ"/>
    <x v="76"/>
    <s v="互动社交"/>
    <s v="聊天交友"/>
    <n v="224"/>
    <n v="0"/>
    <n v="224"/>
    <n v="0"/>
    <n v="81"/>
    <n v="211"/>
    <n v="0"/>
    <n v="0"/>
    <n v="143"/>
    <n v="0"/>
    <n v="0"/>
    <n v="0"/>
    <n v="13"/>
    <n v="0"/>
    <n v="0"/>
    <n v="0"/>
    <n v="13"/>
    <n v="81"/>
    <n v="130"/>
    <n v="0"/>
    <n v="0"/>
    <n v="13"/>
    <n v="0"/>
    <n v="0"/>
    <n v="0"/>
    <n v="0"/>
    <n v="0"/>
    <n v="0"/>
    <n v="0"/>
    <n v="13"/>
  </r>
  <r>
    <n v="202607"/>
    <x v="1"/>
    <x v="23"/>
    <s v="搜狐视频"/>
    <x v="77"/>
    <s v="视频服务"/>
    <s v="在线视频"/>
    <n v="70"/>
    <n v="0"/>
    <n v="70"/>
    <n v="0"/>
    <n v="0"/>
    <n v="0"/>
    <n v="0"/>
    <n v="0"/>
    <n v="35"/>
    <n v="0"/>
    <n v="0"/>
    <n v="0"/>
    <n v="70"/>
    <n v="35"/>
    <n v="0"/>
    <n v="0"/>
    <n v="70"/>
    <n v="0"/>
    <n v="0"/>
    <n v="0"/>
    <n v="0"/>
    <n v="35"/>
    <n v="0"/>
    <n v="0"/>
    <n v="0"/>
    <n v="35"/>
    <n v="0"/>
    <n v="0"/>
    <n v="0"/>
    <n v="70"/>
  </r>
  <r>
    <n v="202607"/>
    <x v="1"/>
    <x v="23"/>
    <s v="全域通APP"/>
    <x v="78"/>
    <s v="旅游出行"/>
    <s v="在线旅游"/>
    <n v="42"/>
    <n v="0"/>
    <n v="42"/>
    <n v="0"/>
    <n v="0"/>
    <n v="42"/>
    <n v="0"/>
    <n v="0"/>
    <n v="42"/>
    <n v="0"/>
    <n v="0"/>
    <n v="0"/>
    <n v="0"/>
    <n v="0"/>
    <n v="0"/>
    <n v="0"/>
    <n v="0"/>
    <n v="0"/>
    <n v="42"/>
    <n v="0"/>
    <n v="0"/>
    <n v="0"/>
    <n v="0"/>
    <n v="0"/>
    <n v="0"/>
    <n v="0"/>
    <n v="0"/>
    <n v="0"/>
    <n v="0"/>
    <n v="0"/>
  </r>
  <r>
    <n v="202607"/>
    <x v="1"/>
    <x v="23"/>
    <s v="京东商城"/>
    <x v="79"/>
    <s v="电子商务"/>
    <s v="综合电商"/>
    <n v="17"/>
    <n v="0"/>
    <n v="17"/>
    <n v="0"/>
    <n v="0"/>
    <n v="17"/>
    <n v="0"/>
    <n v="0"/>
    <n v="17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0"/>
  </r>
  <r>
    <n v="202607"/>
    <x v="1"/>
    <x v="23"/>
    <s v="酷我音乐"/>
    <x v="80"/>
    <s v="音乐综合"/>
    <s v="在线音乐"/>
    <n v="47"/>
    <n v="0"/>
    <n v="47"/>
    <n v="0"/>
    <n v="0"/>
    <n v="11"/>
    <n v="0"/>
    <n v="0"/>
    <n v="36"/>
    <n v="0"/>
    <n v="0"/>
    <n v="0"/>
    <n v="36"/>
    <n v="11"/>
    <n v="0"/>
    <n v="0"/>
    <n v="36"/>
    <n v="0"/>
    <n v="11"/>
    <n v="0"/>
    <n v="0"/>
    <n v="25"/>
    <n v="0"/>
    <n v="0"/>
    <n v="0"/>
    <n v="11"/>
    <n v="0"/>
    <n v="0"/>
    <n v="0"/>
    <n v="36"/>
  </r>
  <r>
    <n v="202607"/>
    <x v="1"/>
    <x v="23"/>
    <s v="百度贴吧"/>
    <x v="81"/>
    <s v="互动社交"/>
    <s v="社区分享"/>
    <n v="8"/>
    <n v="0"/>
    <n v="8"/>
    <n v="0"/>
    <n v="0"/>
    <n v="8"/>
    <n v="0"/>
    <n v="0"/>
    <n v="8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</r>
  <r>
    <n v="202607"/>
    <x v="1"/>
    <x v="23"/>
    <s v="Xaxis"/>
    <x v="82"/>
    <s v="行业企业"/>
    <s v="广告联盟"/>
    <n v="8"/>
    <n v="0"/>
    <n v="8"/>
    <n v="0"/>
    <n v="0"/>
    <n v="1"/>
    <n v="0"/>
    <n v="0"/>
    <n v="8"/>
    <n v="0"/>
    <n v="0"/>
    <n v="0"/>
    <n v="7"/>
    <n v="0"/>
    <n v="0"/>
    <n v="0"/>
    <n v="7"/>
    <n v="0"/>
    <n v="1"/>
    <n v="0"/>
    <n v="0"/>
    <n v="7"/>
    <n v="0"/>
    <n v="0"/>
    <n v="0"/>
    <n v="0"/>
    <n v="0"/>
    <n v="0"/>
    <n v="0"/>
    <n v="7"/>
  </r>
  <r>
    <n v="202607"/>
    <x v="1"/>
    <x v="23"/>
    <s v="阿里系"/>
    <x v="83"/>
    <s v="其他"/>
    <s v="其他"/>
    <n v="4"/>
    <n v="0"/>
    <n v="4"/>
    <n v="0"/>
    <n v="0"/>
    <n v="0"/>
    <n v="0"/>
    <n v="0"/>
    <n v="0"/>
    <n v="0"/>
    <n v="0"/>
    <n v="0"/>
    <n v="4"/>
    <n v="4"/>
    <n v="0"/>
    <n v="0"/>
    <n v="4"/>
    <n v="0"/>
    <n v="0"/>
    <n v="0"/>
    <n v="0"/>
    <n v="0"/>
    <n v="0"/>
    <n v="0"/>
    <n v="0"/>
    <n v="4"/>
    <n v="0"/>
    <n v="0"/>
    <n v="0"/>
    <n v="4"/>
  </r>
  <r>
    <n v="202607"/>
    <x v="1"/>
    <x v="23"/>
    <s v="泛为科技"/>
    <x v="84"/>
    <s v="行业企业"/>
    <s v="广告联盟"/>
    <n v="4"/>
    <n v="0"/>
    <n v="0"/>
    <n v="4"/>
    <n v="0"/>
    <n v="0"/>
    <n v="0"/>
    <n v="0"/>
    <n v="0"/>
    <n v="0"/>
    <n v="0"/>
    <n v="0"/>
    <n v="4"/>
    <n v="4"/>
    <n v="4"/>
    <n v="0"/>
    <n v="4"/>
    <n v="0"/>
    <n v="0"/>
    <n v="0"/>
    <n v="0"/>
    <n v="0"/>
    <n v="0"/>
    <n v="0"/>
    <n v="0"/>
    <n v="4"/>
    <n v="0"/>
    <n v="0"/>
    <n v="0"/>
    <n v="4"/>
  </r>
  <r>
    <n v="202607"/>
    <x v="1"/>
    <x v="23"/>
    <s v="水印相机"/>
    <x v="85"/>
    <s v="拍摄美化"/>
    <s v="拍摄美化"/>
    <n v="4"/>
    <n v="0"/>
    <n v="4"/>
    <n v="0"/>
    <n v="0"/>
    <n v="1"/>
    <n v="0"/>
    <n v="0"/>
    <n v="4"/>
    <n v="0"/>
    <n v="0"/>
    <n v="0"/>
    <n v="3"/>
    <n v="0"/>
    <n v="0"/>
    <n v="0"/>
    <n v="3"/>
    <n v="0"/>
    <n v="1"/>
    <n v="0"/>
    <n v="0"/>
    <n v="3"/>
    <n v="0"/>
    <n v="0"/>
    <n v="0"/>
    <n v="0"/>
    <n v="0"/>
    <n v="0"/>
    <n v="0"/>
    <n v="3"/>
  </r>
  <r>
    <n v="202607"/>
    <x v="1"/>
    <x v="23"/>
    <s v="科大讯飞"/>
    <x v="86"/>
    <s v="行业企业"/>
    <s v="企业官网"/>
    <n v="9"/>
    <n v="0"/>
    <n v="9"/>
    <n v="0"/>
    <n v="0"/>
    <n v="9"/>
    <n v="0"/>
    <n v="0"/>
    <n v="9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</r>
  <r>
    <n v="202607"/>
    <x v="1"/>
    <x v="23"/>
    <s v="CEL"/>
    <x v="87"/>
    <s v="游戏服务"/>
    <s v="其他游戏服务"/>
    <n v="1"/>
    <n v="0"/>
    <n v="1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1"/>
  </r>
  <r>
    <n v="202607"/>
    <x v="1"/>
    <x v="23"/>
    <s v="QQ阅读"/>
    <x v="88"/>
    <s v="电子阅读"/>
    <s v="在线阅读"/>
    <n v="2"/>
    <n v="0"/>
    <n v="2"/>
    <n v="0"/>
    <n v="0"/>
    <n v="1"/>
    <n v="0"/>
    <n v="0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1"/>
    <n v="0"/>
    <n v="1"/>
  </r>
  <r>
    <n v="202607"/>
    <x v="1"/>
    <x v="23"/>
    <s v="新浪网"/>
    <x v="89"/>
    <s v="综合资讯"/>
    <s v="综合门户"/>
    <n v="1"/>
    <n v="0"/>
    <n v="1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n v="202607"/>
    <x v="1"/>
    <x v="23"/>
    <s v="企鹅电竞"/>
    <x v="90"/>
    <s v="视频服务"/>
    <s v="电视/网络直播"/>
    <n v="1"/>
    <n v="0"/>
    <n v="1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1"/>
  </r>
  <r>
    <n v="202607"/>
    <x v="1"/>
    <x v="23"/>
    <s v="腾讯会议"/>
    <x v="91"/>
    <s v="行业企业"/>
    <s v="其他企业服务"/>
    <n v="1"/>
    <n v="0"/>
    <n v="1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1"/>
  </r>
  <r>
    <n v="202607"/>
    <x v="1"/>
    <x v="23"/>
    <s v="懂车帝效果联盟"/>
    <x v="92"/>
    <s v="行业企业"/>
    <s v="广告联盟"/>
    <n v="6"/>
    <n v="0"/>
    <n v="6"/>
    <n v="0"/>
    <n v="0"/>
    <n v="5"/>
    <n v="0"/>
    <n v="0"/>
    <n v="6"/>
    <n v="0"/>
    <n v="0"/>
    <n v="0"/>
    <n v="1"/>
    <n v="0"/>
    <n v="0"/>
    <n v="0"/>
    <n v="1"/>
    <n v="0"/>
    <n v="5"/>
    <n v="0"/>
    <n v="0"/>
    <n v="1"/>
    <n v="0"/>
    <n v="0"/>
    <n v="0"/>
    <n v="0"/>
    <n v="0"/>
    <n v="0"/>
    <n v="0"/>
    <n v="1"/>
  </r>
  <r>
    <n v="202607"/>
    <x v="1"/>
    <x v="23"/>
    <s v="韩小圈"/>
    <x v="93"/>
    <s v="视频服务"/>
    <s v="在线视频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n v="202607"/>
    <x v="1"/>
    <x v="23"/>
    <s v="Merkury"/>
    <x v="94"/>
    <s v="行业企业"/>
    <s v="广告联盟"/>
    <n v="1"/>
    <n v="0"/>
    <n v="1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202607"/>
    <x v="1"/>
    <x v="23"/>
    <s v="财新网"/>
    <x v="95"/>
    <s v="综合资讯"/>
    <s v="财经资讯"/>
    <n v="2"/>
    <n v="0"/>
    <n v="0"/>
    <n v="2"/>
    <n v="0"/>
    <n v="0"/>
    <n v="0"/>
    <n v="0"/>
    <n v="0"/>
    <n v="0"/>
    <n v="0"/>
    <n v="0"/>
    <n v="2"/>
    <n v="2"/>
    <n v="2"/>
    <n v="0"/>
    <n v="2"/>
    <n v="0"/>
    <n v="0"/>
    <n v="0"/>
    <n v="0"/>
    <n v="0"/>
    <n v="0"/>
    <n v="0"/>
    <n v="0"/>
    <n v="2"/>
    <n v="0"/>
    <n v="0"/>
    <n v="0"/>
    <n v="2"/>
  </r>
  <r>
    <n v="202607"/>
    <x v="1"/>
    <x v="23"/>
    <s v="今日头条"/>
    <x v="96"/>
    <s v="综合资讯"/>
    <s v="新闻资讯"/>
    <n v="2"/>
    <n v="0"/>
    <n v="2"/>
    <n v="0"/>
    <n v="1"/>
    <n v="2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</r>
  <r>
    <n v="202607"/>
    <x v="1"/>
    <x v="23"/>
    <s v="美团网"/>
    <x v="97"/>
    <s v="电子商务"/>
    <s v="团购网站"/>
    <n v="1"/>
    <n v="0"/>
    <n v="1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F4930-3E7C-44A2-A319-325158692684}" name="数据透视表1" cacheId="0" applyNumberFormats="0" applyBorderFormats="0" applyFontFormats="0" applyPatternFormats="0" applyAlignmentFormats="0" applyWidthHeightFormats="1" dataCaption="值" updatedVersion="6" minRefreshableVersion="3" useAutoFormatting="1" colGrandTotals="0" itemPrintTitles="1" createdVersion="6" indent="0" compact="0" compactData="0" gridDropZones="1" multipleFieldFilters="0">
  <location ref="A3:M30" firstHeaderRow="1" firstDataRow="3" firstDataCol="1" rowPageCount="1" colPageCount="1"/>
  <pivotFields count="37"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howAll="0"/>
    <pivotField axis="axisPage" compact="0" outline="0" showAll="0">
      <items count="99">
        <item x="83"/>
        <item x="19"/>
        <item x="26"/>
        <item x="7"/>
        <item x="12"/>
        <item x="22"/>
        <item x="16"/>
        <item x="87"/>
        <item x="2"/>
        <item x="42"/>
        <item x="9"/>
        <item x="43"/>
        <item x="1"/>
        <item x="58"/>
        <item x="56"/>
        <item x="25"/>
        <item x="32"/>
        <item x="80"/>
        <item x="60"/>
        <item x="13"/>
        <item x="10"/>
        <item x="35"/>
        <item x="11"/>
        <item x="94"/>
        <item x="54"/>
        <item x="53"/>
        <item x="8"/>
        <item x="48"/>
        <item x="18"/>
        <item x="20"/>
        <item x="31"/>
        <item x="88"/>
        <item x="51"/>
        <item x="89"/>
        <item x="5"/>
        <item x="77"/>
        <item x="39"/>
        <item x="6"/>
        <item x="15"/>
        <item x="21"/>
        <item x="76"/>
        <item x="3"/>
        <item x="96"/>
        <item x="68"/>
        <item x="0"/>
        <item x="73"/>
        <item x="72"/>
        <item x="38"/>
        <item x="82"/>
        <item x="14"/>
        <item x="65"/>
        <item x="47"/>
        <item x="30"/>
        <item x="4"/>
        <item x="17"/>
        <item x="81"/>
        <item x="37"/>
        <item x="95"/>
        <item x="27"/>
        <item x="92"/>
        <item x="70"/>
        <item x="57"/>
        <item x="84"/>
        <item x="34"/>
        <item x="62"/>
        <item x="33"/>
        <item x="44"/>
        <item x="93"/>
        <item x="61"/>
        <item x="36"/>
        <item x="74"/>
        <item x="79"/>
        <item x="75"/>
        <item x="86"/>
        <item x="69"/>
        <item x="49"/>
        <item x="97"/>
        <item x="59"/>
        <item x="45"/>
        <item x="29"/>
        <item x="90"/>
        <item x="52"/>
        <item x="78"/>
        <item x="85"/>
        <item x="91"/>
        <item x="28"/>
        <item x="71"/>
        <item x="24"/>
        <item x="67"/>
        <item x="41"/>
        <item x="55"/>
        <item x="64"/>
        <item x="46"/>
        <item x="63"/>
        <item x="66"/>
        <item x="50"/>
        <item x="40"/>
        <item x="2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pageFields count="1">
    <pageField fld="4" hier="-1"/>
  </pageFields>
  <dataFields count="6">
    <dataField name="求和项:CAID_Count1" fld="8" baseField="0" baseItem="0"/>
    <dataField name="求和项:CAID_Count2" fld="9" baseField="0" baseItem="0"/>
    <dataField name="求和项:CAID_Count3+" fld="10" baseField="0" baseItem="0"/>
    <dataField name="求和项:20260506_CAID优选" fld="24" baseField="0" baseItem="0"/>
    <dataField name="求和项:20250325_CAID优选" fld="25" baseField="0" baseItem="0"/>
    <dataField name="求和项:20250325之前_CAID优选" fld="36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B6C0-0982-4919-B1EF-9C3D2E9481FC}">
  <dimension ref="A1:M30"/>
  <sheetViews>
    <sheetView tabSelected="1" topLeftCell="A7" workbookViewId="0">
      <selection activeCell="E37" sqref="E37"/>
    </sheetView>
  </sheetViews>
  <sheetFormatPr defaultRowHeight="14" x14ac:dyDescent="0.25"/>
  <cols>
    <col min="1" max="1" width="7.26953125" bestFit="1" customWidth="1"/>
    <col min="2" max="20" width="32.90625" bestFit="1" customWidth="1"/>
  </cols>
  <sheetData>
    <row r="1" spans="1:13" x14ac:dyDescent="0.25">
      <c r="A1" s="6" t="s">
        <v>191</v>
      </c>
      <c r="B1" t="s">
        <v>225</v>
      </c>
    </row>
    <row r="3" spans="1:13" x14ac:dyDescent="0.25">
      <c r="B3" s="6" t="s">
        <v>1</v>
      </c>
      <c r="C3" s="6" t="s">
        <v>218</v>
      </c>
    </row>
    <row r="4" spans="1:13" x14ac:dyDescent="0.25">
      <c r="B4" t="s">
        <v>33</v>
      </c>
      <c r="H4" t="s">
        <v>83</v>
      </c>
    </row>
    <row r="5" spans="1:13" x14ac:dyDescent="0.25">
      <c r="A5" s="6" t="s">
        <v>2</v>
      </c>
      <c r="B5" t="s">
        <v>196</v>
      </c>
      <c r="C5" t="s">
        <v>197</v>
      </c>
      <c r="D5" t="s">
        <v>198</v>
      </c>
      <c r="E5" t="s">
        <v>219</v>
      </c>
      <c r="F5" t="s">
        <v>220</v>
      </c>
      <c r="G5" t="s">
        <v>223</v>
      </c>
      <c r="H5" t="s">
        <v>196</v>
      </c>
      <c r="I5" t="s">
        <v>197</v>
      </c>
      <c r="J5" t="s">
        <v>198</v>
      </c>
      <c r="K5" t="s">
        <v>219</v>
      </c>
      <c r="L5" t="s">
        <v>220</v>
      </c>
      <c r="M5" t="s">
        <v>223</v>
      </c>
    </row>
    <row r="6" spans="1:13" x14ac:dyDescent="0.25">
      <c r="A6">
        <v>1</v>
      </c>
      <c r="B6" s="9">
        <v>0</v>
      </c>
      <c r="C6" s="9">
        <v>544797192</v>
      </c>
      <c r="D6" s="9">
        <v>0</v>
      </c>
      <c r="E6" s="9">
        <v>522752445</v>
      </c>
      <c r="F6" s="9">
        <v>22044735</v>
      </c>
      <c r="G6" s="9">
        <v>12</v>
      </c>
      <c r="H6" s="9">
        <v>0</v>
      </c>
      <c r="I6" s="9">
        <v>544797192</v>
      </c>
      <c r="J6" s="9">
        <v>0</v>
      </c>
      <c r="K6" s="9">
        <v>522752445</v>
      </c>
      <c r="L6" s="9">
        <v>22044735</v>
      </c>
      <c r="M6" s="9">
        <v>12</v>
      </c>
    </row>
    <row r="7" spans="1:13" x14ac:dyDescent="0.25">
      <c r="A7">
        <v>2</v>
      </c>
      <c r="B7" s="9">
        <v>0</v>
      </c>
      <c r="C7" s="9">
        <v>212000777</v>
      </c>
      <c r="D7" s="9">
        <v>0</v>
      </c>
      <c r="E7" s="9">
        <v>211548700</v>
      </c>
      <c r="F7" s="9">
        <v>452077</v>
      </c>
      <c r="G7" s="9">
        <v>0</v>
      </c>
      <c r="H7" s="9">
        <v>5</v>
      </c>
      <c r="I7" s="9">
        <v>1370312137</v>
      </c>
      <c r="J7" s="9">
        <v>8185</v>
      </c>
      <c r="K7" s="9">
        <v>1364065340</v>
      </c>
      <c r="L7" s="9">
        <v>6243020</v>
      </c>
      <c r="M7" s="9">
        <v>11967</v>
      </c>
    </row>
    <row r="8" spans="1:13" x14ac:dyDescent="0.25">
      <c r="A8">
        <v>3</v>
      </c>
      <c r="B8" s="9">
        <v>0</v>
      </c>
      <c r="C8" s="9">
        <v>206167085</v>
      </c>
      <c r="D8" s="9">
        <v>0</v>
      </c>
      <c r="E8" s="9">
        <v>206167085</v>
      </c>
      <c r="F8" s="9">
        <v>0</v>
      </c>
      <c r="G8" s="9">
        <v>0</v>
      </c>
      <c r="H8" s="9">
        <v>0</v>
      </c>
      <c r="I8" s="9">
        <v>1359163835</v>
      </c>
      <c r="J8" s="9">
        <v>0</v>
      </c>
      <c r="K8" s="9">
        <v>1359045810</v>
      </c>
      <c r="L8" s="9">
        <v>117788</v>
      </c>
      <c r="M8" s="9">
        <v>237</v>
      </c>
    </row>
    <row r="9" spans="1:13" x14ac:dyDescent="0.25">
      <c r="A9">
        <v>4</v>
      </c>
      <c r="B9" s="9">
        <v>0</v>
      </c>
      <c r="C9" s="9">
        <v>188845799</v>
      </c>
      <c r="D9" s="9">
        <v>0</v>
      </c>
      <c r="E9" s="9">
        <v>146948661</v>
      </c>
      <c r="F9" s="9">
        <v>41885448</v>
      </c>
      <c r="G9" s="9">
        <v>11690</v>
      </c>
      <c r="H9" s="9">
        <v>0</v>
      </c>
      <c r="I9" s="9">
        <v>1636799858</v>
      </c>
      <c r="J9" s="9">
        <v>0</v>
      </c>
      <c r="K9" s="9">
        <v>1332126250</v>
      </c>
      <c r="L9" s="9">
        <v>304587019</v>
      </c>
      <c r="M9" s="9">
        <v>86589</v>
      </c>
    </row>
    <row r="10" spans="1:13" x14ac:dyDescent="0.25">
      <c r="A10">
        <v>5</v>
      </c>
      <c r="B10" s="9">
        <v>163</v>
      </c>
      <c r="C10" s="9">
        <v>171773962</v>
      </c>
      <c r="D10" s="9">
        <v>2241790</v>
      </c>
      <c r="E10" s="9">
        <v>156033142</v>
      </c>
      <c r="F10" s="9">
        <v>16302503</v>
      </c>
      <c r="G10" s="9">
        <v>1680270</v>
      </c>
      <c r="H10" s="9">
        <v>1242</v>
      </c>
      <c r="I10" s="9">
        <v>769289821</v>
      </c>
      <c r="J10" s="9">
        <v>80307866</v>
      </c>
      <c r="K10" s="9">
        <v>787691211</v>
      </c>
      <c r="L10" s="9">
        <v>52812081</v>
      </c>
      <c r="M10" s="9">
        <v>9095637</v>
      </c>
    </row>
    <row r="11" spans="1:13" x14ac:dyDescent="0.25">
      <c r="A11">
        <v>6</v>
      </c>
      <c r="B11" s="9">
        <v>5</v>
      </c>
      <c r="C11" s="9">
        <v>138610923</v>
      </c>
      <c r="D11" s="9">
        <v>0</v>
      </c>
      <c r="E11" s="9">
        <v>138523795</v>
      </c>
      <c r="F11" s="9">
        <v>71661</v>
      </c>
      <c r="G11" s="9">
        <v>15472</v>
      </c>
      <c r="H11" s="9">
        <v>144</v>
      </c>
      <c r="I11" s="9">
        <v>973424971</v>
      </c>
      <c r="J11" s="9">
        <v>0</v>
      </c>
      <c r="K11" s="9">
        <v>971646831</v>
      </c>
      <c r="L11" s="9">
        <v>1684325</v>
      </c>
      <c r="M11" s="9">
        <v>93959</v>
      </c>
    </row>
    <row r="12" spans="1:13" x14ac:dyDescent="0.25">
      <c r="A12">
        <v>7</v>
      </c>
      <c r="B12" s="9">
        <v>0</v>
      </c>
      <c r="C12" s="9">
        <v>71897379</v>
      </c>
      <c r="D12" s="9">
        <v>0</v>
      </c>
      <c r="E12" s="9">
        <v>71895704</v>
      </c>
      <c r="F12" s="9">
        <v>1417</v>
      </c>
      <c r="G12" s="9">
        <v>258</v>
      </c>
      <c r="H12" s="9">
        <v>493379996</v>
      </c>
      <c r="I12" s="9">
        <v>511277361</v>
      </c>
      <c r="J12" s="9">
        <v>70</v>
      </c>
      <c r="K12" s="9">
        <v>129496904</v>
      </c>
      <c r="L12" s="9">
        <v>18292961</v>
      </c>
      <c r="M12" s="9">
        <v>856867562</v>
      </c>
    </row>
    <row r="13" spans="1:13" x14ac:dyDescent="0.25">
      <c r="A13">
        <v>8</v>
      </c>
      <c r="B13" s="9">
        <v>122765</v>
      </c>
      <c r="C13" s="9">
        <v>58575774</v>
      </c>
      <c r="D13" s="9">
        <v>0</v>
      </c>
      <c r="E13" s="9">
        <v>18179832</v>
      </c>
      <c r="F13" s="9">
        <v>40455190</v>
      </c>
      <c r="G13" s="9">
        <v>63517</v>
      </c>
      <c r="H13" s="9">
        <v>270020</v>
      </c>
      <c r="I13" s="9">
        <v>146235921</v>
      </c>
      <c r="J13" s="9">
        <v>0</v>
      </c>
      <c r="K13" s="9">
        <v>47898388</v>
      </c>
      <c r="L13" s="9">
        <v>98465446</v>
      </c>
      <c r="M13" s="9">
        <v>142107</v>
      </c>
    </row>
    <row r="14" spans="1:13" x14ac:dyDescent="0.25">
      <c r="A14">
        <v>9</v>
      </c>
      <c r="B14" s="9">
        <v>154</v>
      </c>
      <c r="C14" s="9">
        <v>54872865</v>
      </c>
      <c r="D14" s="9">
        <v>0</v>
      </c>
      <c r="E14" s="9">
        <v>3923920</v>
      </c>
      <c r="F14" s="9">
        <v>50890354</v>
      </c>
      <c r="G14" s="9">
        <v>58745</v>
      </c>
      <c r="H14" s="9">
        <v>57313</v>
      </c>
      <c r="I14" s="9">
        <v>224222869</v>
      </c>
      <c r="J14" s="9">
        <v>1153</v>
      </c>
      <c r="K14" s="9">
        <v>17595586</v>
      </c>
      <c r="L14" s="9">
        <v>206493025</v>
      </c>
      <c r="M14" s="9">
        <v>192724</v>
      </c>
    </row>
    <row r="15" spans="1:13" x14ac:dyDescent="0.25">
      <c r="A15">
        <v>10</v>
      </c>
      <c r="B15" s="9">
        <v>0</v>
      </c>
      <c r="C15" s="9">
        <v>52326337</v>
      </c>
      <c r="D15" s="9">
        <v>0</v>
      </c>
      <c r="E15" s="9">
        <v>42014888</v>
      </c>
      <c r="F15" s="9">
        <v>10311449</v>
      </c>
      <c r="G15" s="9">
        <v>0</v>
      </c>
      <c r="H15" s="9">
        <v>247</v>
      </c>
      <c r="I15" s="9">
        <v>1235026438</v>
      </c>
      <c r="J15" s="9">
        <v>2</v>
      </c>
      <c r="K15" s="9">
        <v>239386349</v>
      </c>
      <c r="L15" s="9">
        <v>992257860</v>
      </c>
      <c r="M15" s="9">
        <v>3382478</v>
      </c>
    </row>
    <row r="16" spans="1:13" x14ac:dyDescent="0.25">
      <c r="A16">
        <v>11</v>
      </c>
      <c r="B16" s="9">
        <v>0</v>
      </c>
      <c r="C16" s="9">
        <v>42124152</v>
      </c>
      <c r="D16" s="9">
        <v>0</v>
      </c>
      <c r="E16" s="9">
        <v>40569633</v>
      </c>
      <c r="F16" s="9">
        <v>1553352</v>
      </c>
      <c r="G16" s="9">
        <v>1167</v>
      </c>
      <c r="H16" s="9">
        <v>4</v>
      </c>
      <c r="I16" s="9">
        <v>141857272</v>
      </c>
      <c r="J16" s="9">
        <v>0</v>
      </c>
      <c r="K16" s="9">
        <v>137518861</v>
      </c>
      <c r="L16" s="9">
        <v>4329195</v>
      </c>
      <c r="M16" s="9">
        <v>9220</v>
      </c>
    </row>
    <row r="17" spans="1:13" x14ac:dyDescent="0.25">
      <c r="A17">
        <v>12</v>
      </c>
      <c r="B17" s="9">
        <v>0</v>
      </c>
      <c r="C17" s="9">
        <v>14101290</v>
      </c>
      <c r="D17" s="9">
        <v>0</v>
      </c>
      <c r="E17" s="9">
        <v>14037670</v>
      </c>
      <c r="F17" s="9">
        <v>63620</v>
      </c>
      <c r="G17" s="9">
        <v>0</v>
      </c>
      <c r="H17" s="9">
        <v>0</v>
      </c>
      <c r="I17" s="9">
        <v>46388614</v>
      </c>
      <c r="J17" s="9">
        <v>0</v>
      </c>
      <c r="K17" s="9">
        <v>46224410</v>
      </c>
      <c r="L17" s="9">
        <v>164204</v>
      </c>
      <c r="M17" s="9">
        <v>0</v>
      </c>
    </row>
    <row r="18" spans="1:13" x14ac:dyDescent="0.25">
      <c r="A18">
        <v>13</v>
      </c>
      <c r="B18" s="9">
        <v>55431</v>
      </c>
      <c r="C18" s="9">
        <v>13986610</v>
      </c>
      <c r="D18" s="9">
        <v>1</v>
      </c>
      <c r="E18" s="9">
        <v>4985946</v>
      </c>
      <c r="F18" s="9">
        <v>9031854</v>
      </c>
      <c r="G18" s="9">
        <v>24242</v>
      </c>
      <c r="H18" s="9">
        <v>236044</v>
      </c>
      <c r="I18" s="9">
        <v>72153202</v>
      </c>
      <c r="J18" s="9">
        <v>3</v>
      </c>
      <c r="K18" s="9">
        <v>31876947</v>
      </c>
      <c r="L18" s="9">
        <v>40405100</v>
      </c>
      <c r="M18" s="9">
        <v>107202</v>
      </c>
    </row>
    <row r="19" spans="1:13" x14ac:dyDescent="0.25">
      <c r="A19">
        <v>14</v>
      </c>
      <c r="B19" s="9">
        <v>0</v>
      </c>
      <c r="C19" s="9">
        <v>12244898</v>
      </c>
      <c r="D19" s="9">
        <v>0</v>
      </c>
      <c r="E19" s="9">
        <v>12083777</v>
      </c>
      <c r="F19" s="9">
        <v>158920</v>
      </c>
      <c r="G19" s="9">
        <v>2201</v>
      </c>
      <c r="H19" s="9">
        <v>18</v>
      </c>
      <c r="I19" s="9">
        <v>572180089</v>
      </c>
      <c r="J19" s="9">
        <v>22</v>
      </c>
      <c r="K19" s="9">
        <v>558518128</v>
      </c>
      <c r="L19" s="9">
        <v>13444581</v>
      </c>
      <c r="M19" s="9">
        <v>217420</v>
      </c>
    </row>
    <row r="20" spans="1:13" x14ac:dyDescent="0.25">
      <c r="A20">
        <v>15</v>
      </c>
      <c r="B20" s="9">
        <v>4806959</v>
      </c>
      <c r="C20" s="9">
        <v>3615768</v>
      </c>
      <c r="D20" s="9">
        <v>0</v>
      </c>
      <c r="E20" s="9">
        <v>8287731</v>
      </c>
      <c r="F20" s="9">
        <v>134996</v>
      </c>
      <c r="G20" s="9">
        <v>0</v>
      </c>
      <c r="H20" s="9">
        <v>11598622</v>
      </c>
      <c r="I20" s="9">
        <v>27184719</v>
      </c>
      <c r="J20" s="9">
        <v>0</v>
      </c>
      <c r="K20" s="9">
        <v>38469443</v>
      </c>
      <c r="L20" s="9">
        <v>313271</v>
      </c>
      <c r="M20" s="9">
        <v>627</v>
      </c>
    </row>
    <row r="21" spans="1:13" x14ac:dyDescent="0.25">
      <c r="A21">
        <v>16</v>
      </c>
      <c r="B21" s="9">
        <v>0</v>
      </c>
      <c r="C21" s="9">
        <v>6075489</v>
      </c>
      <c r="D21" s="9">
        <v>0</v>
      </c>
      <c r="E21" s="9">
        <v>3241213</v>
      </c>
      <c r="F21" s="9">
        <v>2834276</v>
      </c>
      <c r="G21" s="9">
        <v>0</v>
      </c>
      <c r="H21" s="9">
        <v>0</v>
      </c>
      <c r="I21" s="9">
        <v>23977299</v>
      </c>
      <c r="J21" s="9">
        <v>0</v>
      </c>
      <c r="K21" s="9">
        <v>18020613</v>
      </c>
      <c r="L21" s="9">
        <v>5956543</v>
      </c>
      <c r="M21" s="9">
        <v>143</v>
      </c>
    </row>
    <row r="22" spans="1:13" x14ac:dyDescent="0.25">
      <c r="A22">
        <v>17</v>
      </c>
      <c r="B22" s="9">
        <v>7187</v>
      </c>
      <c r="C22" s="9">
        <v>5037094</v>
      </c>
      <c r="D22" s="9">
        <v>0</v>
      </c>
      <c r="E22" s="9">
        <v>5015737</v>
      </c>
      <c r="F22" s="9">
        <v>2030</v>
      </c>
      <c r="G22" s="9">
        <v>26514</v>
      </c>
      <c r="H22" s="9">
        <v>126786</v>
      </c>
      <c r="I22" s="9">
        <v>10073840</v>
      </c>
      <c r="J22" s="9">
        <v>15787677</v>
      </c>
      <c r="K22" s="9">
        <v>25555024</v>
      </c>
      <c r="L22" s="9">
        <v>13260</v>
      </c>
      <c r="M22" s="9">
        <v>420019</v>
      </c>
    </row>
    <row r="23" spans="1:13" x14ac:dyDescent="0.25">
      <c r="A23">
        <v>18</v>
      </c>
      <c r="B23" s="9">
        <v>0</v>
      </c>
      <c r="C23" s="9">
        <v>4574109</v>
      </c>
      <c r="D23" s="9">
        <v>0</v>
      </c>
      <c r="E23" s="9">
        <v>4571723</v>
      </c>
      <c r="F23" s="9">
        <v>2386</v>
      </c>
      <c r="G23" s="9">
        <v>0</v>
      </c>
      <c r="H23" s="9">
        <v>136</v>
      </c>
      <c r="I23" s="9">
        <v>159386371</v>
      </c>
      <c r="J23" s="9">
        <v>0</v>
      </c>
      <c r="K23" s="9">
        <v>158106053</v>
      </c>
      <c r="L23" s="9">
        <v>1280235</v>
      </c>
      <c r="M23" s="9">
        <v>219</v>
      </c>
    </row>
    <row r="24" spans="1:13" x14ac:dyDescent="0.25">
      <c r="A24">
        <v>19</v>
      </c>
      <c r="B24" s="9">
        <v>0</v>
      </c>
      <c r="C24" s="9">
        <v>3510270</v>
      </c>
      <c r="D24" s="9">
        <v>0</v>
      </c>
      <c r="E24" s="9">
        <v>3439890</v>
      </c>
      <c r="F24" s="9">
        <v>69783</v>
      </c>
      <c r="G24" s="9">
        <v>597</v>
      </c>
      <c r="H24" s="9">
        <v>0</v>
      </c>
      <c r="I24" s="9">
        <v>10232219</v>
      </c>
      <c r="J24" s="9">
        <v>0</v>
      </c>
      <c r="K24" s="9">
        <v>10051945</v>
      </c>
      <c r="L24" s="9">
        <v>178687</v>
      </c>
      <c r="M24" s="9">
        <v>1587</v>
      </c>
    </row>
    <row r="25" spans="1:13" x14ac:dyDescent="0.25">
      <c r="A25">
        <v>20</v>
      </c>
      <c r="B25" s="9">
        <v>158</v>
      </c>
      <c r="C25" s="9">
        <v>3239952</v>
      </c>
      <c r="D25" s="9">
        <v>0</v>
      </c>
      <c r="E25" s="9">
        <v>3235123</v>
      </c>
      <c r="F25" s="9">
        <v>4774</v>
      </c>
      <c r="G25" s="9">
        <v>213</v>
      </c>
      <c r="H25" s="9">
        <v>13832</v>
      </c>
      <c r="I25" s="9">
        <v>121364476</v>
      </c>
      <c r="J25" s="9">
        <v>0</v>
      </c>
      <c r="K25" s="9">
        <v>113177948</v>
      </c>
      <c r="L25" s="9">
        <v>8179228</v>
      </c>
      <c r="M25" s="9">
        <v>21132</v>
      </c>
    </row>
    <row r="26" spans="1:13" x14ac:dyDescent="0.25">
      <c r="A26">
        <v>21</v>
      </c>
      <c r="B26" s="9">
        <v>0</v>
      </c>
      <c r="C26" s="9">
        <v>2410588</v>
      </c>
      <c r="D26" s="9">
        <v>0</v>
      </c>
      <c r="E26" s="9">
        <v>1755112</v>
      </c>
      <c r="F26" s="9">
        <v>655476</v>
      </c>
      <c r="G26" s="9">
        <v>0</v>
      </c>
      <c r="H26" s="9">
        <v>0</v>
      </c>
      <c r="I26" s="9">
        <v>4838982</v>
      </c>
      <c r="J26" s="9">
        <v>0</v>
      </c>
      <c r="K26" s="9">
        <v>3516492</v>
      </c>
      <c r="L26" s="9">
        <v>1322209</v>
      </c>
      <c r="M26" s="9">
        <v>281</v>
      </c>
    </row>
    <row r="27" spans="1:13" x14ac:dyDescent="0.25">
      <c r="A27">
        <v>22</v>
      </c>
      <c r="B27" s="9">
        <v>0</v>
      </c>
      <c r="C27" s="9">
        <v>987082</v>
      </c>
      <c r="D27" s="9">
        <v>0</v>
      </c>
      <c r="E27" s="9">
        <v>544530</v>
      </c>
      <c r="F27" s="9">
        <v>442552</v>
      </c>
      <c r="G27" s="9">
        <v>0</v>
      </c>
      <c r="H27" s="9">
        <v>0</v>
      </c>
      <c r="I27" s="9">
        <v>22126443</v>
      </c>
      <c r="J27" s="9">
        <v>0</v>
      </c>
      <c r="K27" s="9">
        <v>15841110</v>
      </c>
      <c r="L27" s="9">
        <v>6284246</v>
      </c>
      <c r="M27" s="9">
        <v>1087</v>
      </c>
    </row>
    <row r="28" spans="1:13" x14ac:dyDescent="0.25">
      <c r="A28">
        <v>23</v>
      </c>
      <c r="B28" s="9">
        <v>0</v>
      </c>
      <c r="C28" s="9">
        <v>122499</v>
      </c>
      <c r="D28" s="9">
        <v>0</v>
      </c>
      <c r="E28" s="9">
        <v>122499</v>
      </c>
      <c r="F28" s="9">
        <v>0</v>
      </c>
      <c r="G28" s="9">
        <v>0</v>
      </c>
      <c r="H28" s="9">
        <v>1588671</v>
      </c>
      <c r="I28" s="9">
        <v>322273626</v>
      </c>
      <c r="J28" s="9">
        <v>0</v>
      </c>
      <c r="K28" s="9">
        <v>322863431</v>
      </c>
      <c r="L28" s="9">
        <v>894482</v>
      </c>
      <c r="M28" s="9">
        <v>104384</v>
      </c>
    </row>
    <row r="29" spans="1:13" x14ac:dyDescent="0.25">
      <c r="A29" t="s">
        <v>194</v>
      </c>
      <c r="B29" s="9"/>
      <c r="C29" s="9"/>
      <c r="D29" s="9"/>
      <c r="E29" s="9"/>
      <c r="F29" s="9"/>
      <c r="G29" s="9"/>
      <c r="H29" s="9">
        <v>1780292</v>
      </c>
      <c r="I29" s="9">
        <v>1137916104</v>
      </c>
      <c r="J29" s="9">
        <v>910486</v>
      </c>
      <c r="K29" s="9">
        <v>1084439534</v>
      </c>
      <c r="L29" s="9">
        <v>51798630</v>
      </c>
      <c r="M29" s="9">
        <v>4368718</v>
      </c>
    </row>
    <row r="30" spans="1:13" x14ac:dyDescent="0.25">
      <c r="A30" t="s">
        <v>195</v>
      </c>
      <c r="B30" s="9">
        <v>4992822</v>
      </c>
      <c r="C30" s="9">
        <v>1811897894</v>
      </c>
      <c r="D30" s="9">
        <v>2241791</v>
      </c>
      <c r="E30" s="9">
        <v>1619878756</v>
      </c>
      <c r="F30" s="9">
        <v>197368853</v>
      </c>
      <c r="G30" s="9">
        <v>1884898</v>
      </c>
      <c r="H30" s="9">
        <v>509053372</v>
      </c>
      <c r="I30" s="9">
        <v>11442503659</v>
      </c>
      <c r="J30" s="9">
        <v>97015464</v>
      </c>
      <c r="K30" s="9">
        <v>9335885053</v>
      </c>
      <c r="L30" s="9">
        <v>1837562131</v>
      </c>
      <c r="M30" s="9">
        <v>875125311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3"/>
  <sheetViews>
    <sheetView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A2" sqref="A2"/>
    </sheetView>
  </sheetViews>
  <sheetFormatPr defaultRowHeight="14" x14ac:dyDescent="0.25"/>
  <cols>
    <col min="8" max="8" width="19.6328125" customWidth="1"/>
    <col min="10" max="10" width="13.81640625" customWidth="1"/>
    <col min="12" max="12" width="12.26953125" customWidth="1"/>
    <col min="13" max="13" width="12.453125" customWidth="1"/>
    <col min="25" max="25" width="12.08984375" customWidth="1"/>
    <col min="26" max="26" width="15.1796875" customWidth="1"/>
  </cols>
  <sheetData>
    <row r="1" spans="1:37" s="1" customFormat="1" ht="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232</v>
      </c>
      <c r="K1" s="1" t="s">
        <v>9</v>
      </c>
      <c r="L1" s="2" t="s">
        <v>11</v>
      </c>
      <c r="M1" s="2" t="s">
        <v>12</v>
      </c>
      <c r="N1" s="2" t="s">
        <v>190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10</v>
      </c>
      <c r="Y1" s="3" t="s">
        <v>22</v>
      </c>
      <c r="Z1" s="4" t="s">
        <v>23</v>
      </c>
      <c r="AA1" s="5" t="s">
        <v>189</v>
      </c>
      <c r="AB1" s="5" t="s">
        <v>24</v>
      </c>
      <c r="AC1" s="3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222</v>
      </c>
    </row>
    <row r="2" spans="1:37" s="1" customFormat="1" x14ac:dyDescent="0.25">
      <c r="A2">
        <v>202607</v>
      </c>
      <c r="B2" t="s">
        <v>33</v>
      </c>
      <c r="C2" s="1">
        <v>1</v>
      </c>
      <c r="D2" s="1" t="s">
        <v>188</v>
      </c>
      <c r="E2" s="1" t="s">
        <v>193</v>
      </c>
      <c r="F2" s="1" t="s">
        <v>42</v>
      </c>
      <c r="G2" s="1" t="s">
        <v>111</v>
      </c>
      <c r="H2" s="1">
        <v>544797192</v>
      </c>
      <c r="I2" s="1">
        <v>0</v>
      </c>
      <c r="J2" s="1">
        <v>544797192</v>
      </c>
      <c r="K2" s="1">
        <v>0</v>
      </c>
      <c r="L2" s="1">
        <v>522752445</v>
      </c>
      <c r="M2" s="1">
        <v>544797180</v>
      </c>
      <c r="N2">
        <v>0</v>
      </c>
      <c r="O2">
        <v>0</v>
      </c>
      <c r="P2" s="1">
        <v>22044745</v>
      </c>
      <c r="Q2">
        <v>0</v>
      </c>
      <c r="R2">
        <v>0</v>
      </c>
      <c r="S2">
        <v>0</v>
      </c>
      <c r="T2" s="1">
        <v>10</v>
      </c>
      <c r="V2" s="1">
        <v>2</v>
      </c>
      <c r="W2" s="1">
        <v>2</v>
      </c>
      <c r="X2" s="1">
        <v>12</v>
      </c>
      <c r="Y2" s="1">
        <v>522752445</v>
      </c>
      <c r="Z2" s="1">
        <v>22044735</v>
      </c>
      <c r="AA2">
        <v>0</v>
      </c>
      <c r="AB2">
        <v>0</v>
      </c>
      <c r="AC2" s="1">
        <v>10</v>
      </c>
      <c r="AD2">
        <v>0</v>
      </c>
      <c r="AE2">
        <v>0</v>
      </c>
      <c r="AF2">
        <v>0</v>
      </c>
      <c r="AG2">
        <v>0</v>
      </c>
      <c r="AH2">
        <v>0</v>
      </c>
      <c r="AI2">
        <v>2</v>
      </c>
      <c r="AJ2">
        <v>0</v>
      </c>
      <c r="AK2" s="1">
        <f>SUM(AA2:AJ2)</f>
        <v>12</v>
      </c>
    </row>
    <row r="3" spans="1:37" x14ac:dyDescent="0.25">
      <c r="A3">
        <v>202607</v>
      </c>
      <c r="B3" t="s">
        <v>33</v>
      </c>
      <c r="C3">
        <v>2</v>
      </c>
      <c r="D3" t="s">
        <v>34</v>
      </c>
      <c r="E3" s="1" t="str">
        <f>VLOOKUP(D3,[1]Sheet1!$B$2:$C$735,2,0)</f>
        <v>IQIYI</v>
      </c>
      <c r="F3" t="s">
        <v>35</v>
      </c>
      <c r="G3" t="s">
        <v>36</v>
      </c>
      <c r="H3">
        <v>212000777</v>
      </c>
      <c r="I3">
        <v>0</v>
      </c>
      <c r="J3">
        <v>212000777</v>
      </c>
      <c r="K3">
        <v>0</v>
      </c>
      <c r="L3">
        <v>211548700</v>
      </c>
      <c r="M3">
        <v>212000777</v>
      </c>
      <c r="N3">
        <v>0</v>
      </c>
      <c r="O3">
        <v>0</v>
      </c>
      <c r="P3">
        <v>452077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211548700</v>
      </c>
      <c r="Z3">
        <v>452077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1">
        <f t="shared" ref="AK3:AK66" si="0">SUM(AA3:AJ3)</f>
        <v>0</v>
      </c>
    </row>
    <row r="4" spans="1:37" x14ac:dyDescent="0.25">
      <c r="A4">
        <v>202607</v>
      </c>
      <c r="B4" t="s">
        <v>33</v>
      </c>
      <c r="C4">
        <v>3</v>
      </c>
      <c r="D4" t="s">
        <v>37</v>
      </c>
      <c r="E4" s="1" t="str">
        <f>VLOOKUP(D4,[1]Sheet1!$B$2:$C$735,2,0)</f>
        <v>DOUYIN</v>
      </c>
      <c r="F4" t="s">
        <v>35</v>
      </c>
      <c r="G4" t="s">
        <v>38</v>
      </c>
      <c r="H4">
        <v>206167085</v>
      </c>
      <c r="I4">
        <v>0</v>
      </c>
      <c r="J4">
        <v>206167085</v>
      </c>
      <c r="K4">
        <v>0</v>
      </c>
      <c r="L4">
        <v>206167085</v>
      </c>
      <c r="M4">
        <v>206167085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206167085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1">
        <f t="shared" si="0"/>
        <v>0</v>
      </c>
    </row>
    <row r="5" spans="1:37" ht="28" x14ac:dyDescent="0.25">
      <c r="A5">
        <v>202607</v>
      </c>
      <c r="B5" t="s">
        <v>33</v>
      </c>
      <c r="C5">
        <v>4</v>
      </c>
      <c r="D5" t="s">
        <v>39</v>
      </c>
      <c r="E5" s="1" t="str">
        <f>VLOOKUP(D5,[1]Sheet1!$B$2:$C$735,2,0)</f>
        <v>TENCENT VIDEO</v>
      </c>
      <c r="F5" t="s">
        <v>35</v>
      </c>
      <c r="G5" t="s">
        <v>36</v>
      </c>
      <c r="H5">
        <v>188845799</v>
      </c>
      <c r="I5">
        <v>0</v>
      </c>
      <c r="J5">
        <v>188845799</v>
      </c>
      <c r="K5">
        <v>0</v>
      </c>
      <c r="L5">
        <v>146948661</v>
      </c>
      <c r="M5">
        <v>188834109</v>
      </c>
      <c r="N5">
        <v>0</v>
      </c>
      <c r="O5">
        <v>0</v>
      </c>
      <c r="P5">
        <v>41897000</v>
      </c>
      <c r="Q5">
        <v>0</v>
      </c>
      <c r="R5">
        <v>0</v>
      </c>
      <c r="S5">
        <v>0</v>
      </c>
      <c r="T5">
        <v>11670</v>
      </c>
      <c r="U5">
        <v>119</v>
      </c>
      <c r="V5">
        <v>20</v>
      </c>
      <c r="W5">
        <v>19</v>
      </c>
      <c r="X5">
        <v>11690</v>
      </c>
      <c r="Y5">
        <v>146948661</v>
      </c>
      <c r="Z5">
        <v>41885448</v>
      </c>
      <c r="AA5">
        <v>0</v>
      </c>
      <c r="AB5">
        <v>0</v>
      </c>
      <c r="AC5">
        <v>11552</v>
      </c>
      <c r="AD5">
        <v>0</v>
      </c>
      <c r="AE5">
        <v>0</v>
      </c>
      <c r="AF5">
        <v>0</v>
      </c>
      <c r="AG5">
        <v>118</v>
      </c>
      <c r="AH5">
        <v>1</v>
      </c>
      <c r="AI5">
        <v>19</v>
      </c>
      <c r="AJ5">
        <v>0</v>
      </c>
      <c r="AK5" s="1">
        <f t="shared" si="0"/>
        <v>11690</v>
      </c>
    </row>
    <row r="6" spans="1:37" x14ac:dyDescent="0.25">
      <c r="A6">
        <v>202607</v>
      </c>
      <c r="B6" t="s">
        <v>33</v>
      </c>
      <c r="C6">
        <v>5</v>
      </c>
      <c r="D6" t="s">
        <v>40</v>
      </c>
      <c r="E6" s="1" t="str">
        <f>VLOOKUP(D6,[1]Sheet1!$B$2:$C$735,2,0)</f>
        <v>YOUKU</v>
      </c>
      <c r="F6" t="s">
        <v>35</v>
      </c>
      <c r="G6" t="s">
        <v>36</v>
      </c>
      <c r="H6">
        <v>174015915</v>
      </c>
      <c r="I6">
        <v>163</v>
      </c>
      <c r="J6">
        <v>171773962</v>
      </c>
      <c r="K6">
        <v>2241790</v>
      </c>
      <c r="L6">
        <v>156033142</v>
      </c>
      <c r="M6">
        <v>172335645</v>
      </c>
      <c r="N6">
        <v>0</v>
      </c>
      <c r="O6">
        <v>0</v>
      </c>
      <c r="P6">
        <v>18860541</v>
      </c>
      <c r="Q6">
        <v>0</v>
      </c>
      <c r="R6">
        <v>0</v>
      </c>
      <c r="S6">
        <v>0</v>
      </c>
      <c r="T6">
        <v>3888837</v>
      </c>
      <c r="U6">
        <v>3519644</v>
      </c>
      <c r="V6">
        <v>2241953</v>
      </c>
      <c r="W6">
        <v>0</v>
      </c>
      <c r="X6">
        <v>3889000</v>
      </c>
      <c r="Y6">
        <v>156033142</v>
      </c>
      <c r="Z6">
        <v>16302503</v>
      </c>
      <c r="AA6">
        <v>0</v>
      </c>
      <c r="AB6">
        <v>0</v>
      </c>
      <c r="AC6">
        <v>369657</v>
      </c>
      <c r="AD6">
        <v>0</v>
      </c>
      <c r="AE6">
        <v>0</v>
      </c>
      <c r="AF6">
        <v>0</v>
      </c>
      <c r="AG6">
        <v>1310450</v>
      </c>
      <c r="AH6">
        <v>0</v>
      </c>
      <c r="AI6">
        <v>163</v>
      </c>
      <c r="AJ6">
        <v>0</v>
      </c>
      <c r="AK6" s="1">
        <f t="shared" si="0"/>
        <v>1680270</v>
      </c>
    </row>
    <row r="7" spans="1:37" ht="28" x14ac:dyDescent="0.25">
      <c r="A7">
        <v>202607</v>
      </c>
      <c r="B7" t="s">
        <v>33</v>
      </c>
      <c r="C7">
        <v>6</v>
      </c>
      <c r="D7" t="s">
        <v>41</v>
      </c>
      <c r="E7" s="1" t="str">
        <f>VLOOKUP(D7,[1]Sheet1!$B$2:$C$735,2,0)</f>
        <v>SINA WEIBO</v>
      </c>
      <c r="F7" t="s">
        <v>42</v>
      </c>
      <c r="G7" t="s">
        <v>43</v>
      </c>
      <c r="H7">
        <v>138610928</v>
      </c>
      <c r="I7">
        <v>5</v>
      </c>
      <c r="J7">
        <v>138610923</v>
      </c>
      <c r="K7">
        <v>0</v>
      </c>
      <c r="L7">
        <v>138523795</v>
      </c>
      <c r="M7">
        <v>138595456</v>
      </c>
      <c r="N7">
        <v>0</v>
      </c>
      <c r="O7">
        <v>0</v>
      </c>
      <c r="P7">
        <v>87098</v>
      </c>
      <c r="Q7">
        <v>0</v>
      </c>
      <c r="R7">
        <v>0</v>
      </c>
      <c r="S7">
        <v>0</v>
      </c>
      <c r="T7">
        <v>15467</v>
      </c>
      <c r="U7">
        <v>28</v>
      </c>
      <c r="V7">
        <v>7</v>
      </c>
      <c r="W7">
        <v>0</v>
      </c>
      <c r="X7">
        <v>15472</v>
      </c>
      <c r="Y7">
        <v>138523795</v>
      </c>
      <c r="Z7">
        <v>71661</v>
      </c>
      <c r="AA7">
        <v>0</v>
      </c>
      <c r="AB7">
        <v>0</v>
      </c>
      <c r="AC7">
        <v>15437</v>
      </c>
      <c r="AD7">
        <v>0</v>
      </c>
      <c r="AE7">
        <v>0</v>
      </c>
      <c r="AF7">
        <v>0</v>
      </c>
      <c r="AG7">
        <v>30</v>
      </c>
      <c r="AH7">
        <v>0</v>
      </c>
      <c r="AI7">
        <v>5</v>
      </c>
      <c r="AJ7">
        <v>0</v>
      </c>
      <c r="AK7" s="1">
        <f t="shared" si="0"/>
        <v>15472</v>
      </c>
    </row>
    <row r="8" spans="1:37" x14ac:dyDescent="0.25">
      <c r="A8">
        <v>202607</v>
      </c>
      <c r="B8" t="s">
        <v>33</v>
      </c>
      <c r="C8">
        <v>7</v>
      </c>
      <c r="D8" t="s">
        <v>44</v>
      </c>
      <c r="E8" s="1" t="str">
        <f>VLOOKUP(D8,[1]Sheet1!$B$2:$C$735,2,0)</f>
        <v>TENCENT</v>
      </c>
      <c r="F8" t="s">
        <v>45</v>
      </c>
      <c r="G8" t="s">
        <v>45</v>
      </c>
      <c r="H8">
        <v>71897379</v>
      </c>
      <c r="I8">
        <v>0</v>
      </c>
      <c r="J8">
        <v>71897379</v>
      </c>
      <c r="K8">
        <v>0</v>
      </c>
      <c r="L8">
        <v>71895704</v>
      </c>
      <c r="M8">
        <v>71897121</v>
      </c>
      <c r="N8">
        <v>0</v>
      </c>
      <c r="O8">
        <v>0</v>
      </c>
      <c r="P8">
        <v>1666</v>
      </c>
      <c r="Q8">
        <v>0</v>
      </c>
      <c r="R8">
        <v>0</v>
      </c>
      <c r="S8">
        <v>0</v>
      </c>
      <c r="T8">
        <v>256</v>
      </c>
      <c r="U8">
        <v>7</v>
      </c>
      <c r="V8">
        <v>2</v>
      </c>
      <c r="W8">
        <v>2</v>
      </c>
      <c r="X8">
        <v>258</v>
      </c>
      <c r="Y8">
        <v>71895704</v>
      </c>
      <c r="Z8">
        <v>1417</v>
      </c>
      <c r="AA8">
        <v>0</v>
      </c>
      <c r="AB8">
        <v>0</v>
      </c>
      <c r="AC8">
        <v>249</v>
      </c>
      <c r="AD8">
        <v>0</v>
      </c>
      <c r="AE8">
        <v>0</v>
      </c>
      <c r="AF8">
        <v>0</v>
      </c>
      <c r="AG8">
        <v>7</v>
      </c>
      <c r="AH8">
        <v>0</v>
      </c>
      <c r="AI8">
        <v>2</v>
      </c>
      <c r="AJ8">
        <v>0</v>
      </c>
      <c r="AK8" s="1">
        <f t="shared" si="0"/>
        <v>258</v>
      </c>
    </row>
    <row r="9" spans="1:37" x14ac:dyDescent="0.25">
      <c r="A9">
        <v>202607</v>
      </c>
      <c r="B9" t="s">
        <v>33</v>
      </c>
      <c r="C9">
        <v>8</v>
      </c>
      <c r="D9" t="s">
        <v>46</v>
      </c>
      <c r="E9" s="1" t="str">
        <f>VLOOKUP(D9,[1]Sheet1!$B$2:$C$735,2,0)</f>
        <v>BAIDU</v>
      </c>
      <c r="F9" t="s">
        <v>47</v>
      </c>
      <c r="G9" t="s">
        <v>48</v>
      </c>
      <c r="H9">
        <v>58698539</v>
      </c>
      <c r="I9">
        <v>122765</v>
      </c>
      <c r="J9">
        <v>58575774</v>
      </c>
      <c r="K9">
        <v>0</v>
      </c>
      <c r="L9">
        <v>18179832</v>
      </c>
      <c r="M9">
        <v>58629495</v>
      </c>
      <c r="N9">
        <v>1</v>
      </c>
      <c r="O9">
        <v>0</v>
      </c>
      <c r="P9">
        <v>40437608</v>
      </c>
      <c r="Q9">
        <v>311</v>
      </c>
      <c r="R9">
        <v>1</v>
      </c>
      <c r="S9">
        <v>6</v>
      </c>
      <c r="T9">
        <v>21716</v>
      </c>
      <c r="U9">
        <v>4875</v>
      </c>
      <c r="V9">
        <v>356</v>
      </c>
      <c r="W9">
        <v>112</v>
      </c>
      <c r="X9">
        <v>26483</v>
      </c>
      <c r="Y9">
        <v>18179832</v>
      </c>
      <c r="Z9">
        <v>40455190</v>
      </c>
      <c r="AA9">
        <v>0</v>
      </c>
      <c r="AB9">
        <v>0</v>
      </c>
      <c r="AC9">
        <v>53761</v>
      </c>
      <c r="AD9">
        <v>118</v>
      </c>
      <c r="AE9">
        <v>0</v>
      </c>
      <c r="AF9">
        <v>1</v>
      </c>
      <c r="AG9">
        <v>7258</v>
      </c>
      <c r="AH9">
        <v>2144</v>
      </c>
      <c r="AI9">
        <v>197</v>
      </c>
      <c r="AJ9">
        <v>38</v>
      </c>
      <c r="AK9" s="1">
        <f t="shared" si="0"/>
        <v>63517</v>
      </c>
    </row>
    <row r="10" spans="1:37" ht="28" x14ac:dyDescent="0.25">
      <c r="A10">
        <v>202607</v>
      </c>
      <c r="B10" t="s">
        <v>33</v>
      </c>
      <c r="C10">
        <v>9</v>
      </c>
      <c r="D10" t="s">
        <v>49</v>
      </c>
      <c r="E10" s="1" t="str">
        <f>VLOOKUP(D10,[1]Sheet1!$B$2:$C$735,2,0)</f>
        <v>NETEASE MUSIC</v>
      </c>
      <c r="F10" t="s">
        <v>50</v>
      </c>
      <c r="G10" t="s">
        <v>51</v>
      </c>
      <c r="H10">
        <v>54873019</v>
      </c>
      <c r="I10">
        <v>154</v>
      </c>
      <c r="J10">
        <v>54872865</v>
      </c>
      <c r="K10">
        <v>0</v>
      </c>
      <c r="L10">
        <v>3923920</v>
      </c>
      <c r="M10">
        <v>54814274</v>
      </c>
      <c r="N10">
        <v>0</v>
      </c>
      <c r="O10">
        <v>0</v>
      </c>
      <c r="P10">
        <v>50946264</v>
      </c>
      <c r="Q10">
        <v>0</v>
      </c>
      <c r="R10">
        <v>0</v>
      </c>
      <c r="S10">
        <v>0</v>
      </c>
      <c r="T10">
        <v>58591</v>
      </c>
      <c r="U10">
        <v>2681</v>
      </c>
      <c r="V10">
        <v>154</v>
      </c>
      <c r="W10">
        <v>0</v>
      </c>
      <c r="X10">
        <v>58745</v>
      </c>
      <c r="Y10">
        <v>3923920</v>
      </c>
      <c r="Z10">
        <v>50890354</v>
      </c>
      <c r="AA10">
        <v>0</v>
      </c>
      <c r="AB10">
        <v>0</v>
      </c>
      <c r="AC10">
        <v>55910</v>
      </c>
      <c r="AD10">
        <v>0</v>
      </c>
      <c r="AE10">
        <v>0</v>
      </c>
      <c r="AF10">
        <v>0</v>
      </c>
      <c r="AG10">
        <v>2681</v>
      </c>
      <c r="AH10">
        <v>0</v>
      </c>
      <c r="AI10">
        <v>154</v>
      </c>
      <c r="AJ10">
        <v>0</v>
      </c>
      <c r="AK10" s="1">
        <f t="shared" si="0"/>
        <v>58745</v>
      </c>
    </row>
    <row r="11" spans="1:37" x14ac:dyDescent="0.25">
      <c r="A11">
        <v>202607</v>
      </c>
      <c r="B11" t="s">
        <v>33</v>
      </c>
      <c r="C11">
        <v>10</v>
      </c>
      <c r="D11" t="s">
        <v>52</v>
      </c>
      <c r="E11" s="1" t="str">
        <f>VLOOKUP(D11,[1]Sheet1!$B$2:$C$735,2,0)</f>
        <v>HUNANTV</v>
      </c>
      <c r="F11" t="s">
        <v>35</v>
      </c>
      <c r="G11" t="s">
        <v>36</v>
      </c>
      <c r="H11">
        <v>52326337</v>
      </c>
      <c r="I11">
        <v>0</v>
      </c>
      <c r="J11">
        <v>52326337</v>
      </c>
      <c r="K11">
        <v>0</v>
      </c>
      <c r="L11">
        <v>42014888</v>
      </c>
      <c r="M11">
        <v>52326337</v>
      </c>
      <c r="N11">
        <v>0</v>
      </c>
      <c r="O11">
        <v>0</v>
      </c>
      <c r="P11">
        <v>10311449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42014888</v>
      </c>
      <c r="Z11">
        <v>10311449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s="1">
        <f t="shared" si="0"/>
        <v>0</v>
      </c>
    </row>
    <row r="12" spans="1:37" x14ac:dyDescent="0.25">
      <c r="A12">
        <v>202607</v>
      </c>
      <c r="B12" t="s">
        <v>33</v>
      </c>
      <c r="C12">
        <v>11</v>
      </c>
      <c r="D12" t="s">
        <v>53</v>
      </c>
      <c r="E12" s="1" t="str">
        <f>VLOOKUP(D12,[1]Sheet1!$B$2:$C$735,2,0)</f>
        <v>MEITU</v>
      </c>
      <c r="F12" t="s">
        <v>54</v>
      </c>
      <c r="G12" t="s">
        <v>54</v>
      </c>
      <c r="H12">
        <v>42124152</v>
      </c>
      <c r="I12">
        <v>0</v>
      </c>
      <c r="J12">
        <v>42124152</v>
      </c>
      <c r="K12">
        <v>0</v>
      </c>
      <c r="L12">
        <v>40569633</v>
      </c>
      <c r="M12">
        <v>42122985</v>
      </c>
      <c r="N12">
        <v>0</v>
      </c>
      <c r="O12">
        <v>0</v>
      </c>
      <c r="P12">
        <v>1554449</v>
      </c>
      <c r="Q12">
        <v>0</v>
      </c>
      <c r="R12">
        <v>0</v>
      </c>
      <c r="S12">
        <v>0</v>
      </c>
      <c r="T12">
        <v>1146</v>
      </c>
      <c r="U12">
        <v>52</v>
      </c>
      <c r="V12">
        <v>21</v>
      </c>
      <c r="W12">
        <v>18</v>
      </c>
      <c r="X12">
        <v>1167</v>
      </c>
      <c r="Y12">
        <v>40569633</v>
      </c>
      <c r="Z12">
        <v>1553352</v>
      </c>
      <c r="AA12">
        <v>0</v>
      </c>
      <c r="AB12">
        <v>0</v>
      </c>
      <c r="AC12">
        <v>1097</v>
      </c>
      <c r="AD12">
        <v>0</v>
      </c>
      <c r="AE12">
        <v>0</v>
      </c>
      <c r="AF12">
        <v>0</v>
      </c>
      <c r="AG12">
        <v>49</v>
      </c>
      <c r="AH12">
        <v>3</v>
      </c>
      <c r="AI12">
        <v>18</v>
      </c>
      <c r="AJ12">
        <v>0</v>
      </c>
      <c r="AK12" s="1">
        <f t="shared" si="0"/>
        <v>1167</v>
      </c>
    </row>
    <row r="13" spans="1:37" x14ac:dyDescent="0.25">
      <c r="A13">
        <v>202607</v>
      </c>
      <c r="B13" t="s">
        <v>33</v>
      </c>
      <c r="C13">
        <v>12</v>
      </c>
      <c r="D13" t="s">
        <v>55</v>
      </c>
      <c r="E13" s="1" t="str">
        <f>VLOOKUP(D13,[1]Sheet1!$B$2:$C$735,2,0)</f>
        <v>MEIYOU</v>
      </c>
      <c r="F13" t="s">
        <v>56</v>
      </c>
      <c r="G13" t="s">
        <v>57</v>
      </c>
      <c r="H13">
        <v>14101290</v>
      </c>
      <c r="I13">
        <v>0</v>
      </c>
      <c r="J13">
        <v>14101290</v>
      </c>
      <c r="K13">
        <v>0</v>
      </c>
      <c r="L13">
        <v>14037670</v>
      </c>
      <c r="M13">
        <v>14101290</v>
      </c>
      <c r="N13">
        <v>0</v>
      </c>
      <c r="O13">
        <v>0</v>
      </c>
      <c r="P13">
        <v>63620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14037670</v>
      </c>
      <c r="Z13">
        <v>63620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s="1">
        <f t="shared" si="0"/>
        <v>0</v>
      </c>
    </row>
    <row r="14" spans="1:37" ht="28" x14ac:dyDescent="0.25">
      <c r="A14">
        <v>202607</v>
      </c>
      <c r="B14" t="s">
        <v>33</v>
      </c>
      <c r="C14">
        <v>13</v>
      </c>
      <c r="D14" t="s">
        <v>58</v>
      </c>
      <c r="E14" s="1" t="str">
        <f>VLOOKUP(D14,[1]Sheet1!$B$2:$C$735,2,0)</f>
        <v>BAIDU MAP</v>
      </c>
      <c r="F14" t="s">
        <v>59</v>
      </c>
      <c r="G14" t="s">
        <v>60</v>
      </c>
      <c r="H14">
        <v>14042042</v>
      </c>
      <c r="I14">
        <v>55431</v>
      </c>
      <c r="J14">
        <v>13986610</v>
      </c>
      <c r="K14">
        <v>1</v>
      </c>
      <c r="L14">
        <v>4985946</v>
      </c>
      <c r="M14">
        <v>14015257</v>
      </c>
      <c r="N14">
        <v>0</v>
      </c>
      <c r="O14">
        <v>0</v>
      </c>
      <c r="P14">
        <v>9017203</v>
      </c>
      <c r="Q14">
        <v>83</v>
      </c>
      <c r="R14">
        <v>0</v>
      </c>
      <c r="S14">
        <v>1</v>
      </c>
      <c r="T14">
        <v>8819</v>
      </c>
      <c r="U14">
        <v>1269</v>
      </c>
      <c r="V14">
        <v>30</v>
      </c>
      <c r="W14">
        <v>46</v>
      </c>
      <c r="X14">
        <v>9920</v>
      </c>
      <c r="Y14">
        <v>4985946</v>
      </c>
      <c r="Z14">
        <v>9031854</v>
      </c>
      <c r="AA14">
        <v>0</v>
      </c>
      <c r="AB14">
        <v>0</v>
      </c>
      <c r="AC14">
        <v>19812</v>
      </c>
      <c r="AD14">
        <v>50</v>
      </c>
      <c r="AE14">
        <v>0</v>
      </c>
      <c r="AF14">
        <v>1</v>
      </c>
      <c r="AG14">
        <v>3811</v>
      </c>
      <c r="AH14">
        <v>531</v>
      </c>
      <c r="AI14">
        <v>14</v>
      </c>
      <c r="AJ14">
        <v>23</v>
      </c>
      <c r="AK14" s="1">
        <f t="shared" si="0"/>
        <v>24242</v>
      </c>
    </row>
    <row r="15" spans="1:37" x14ac:dyDescent="0.25">
      <c r="A15">
        <v>202607</v>
      </c>
      <c r="B15" t="s">
        <v>33</v>
      </c>
      <c r="C15">
        <v>14</v>
      </c>
      <c r="D15" t="s">
        <v>61</v>
      </c>
      <c r="E15" s="1" t="str">
        <f>VLOOKUP(D15,[1]Sheet1!$B$2:$C$735,2,0)</f>
        <v>LRB</v>
      </c>
      <c r="F15" t="s">
        <v>62</v>
      </c>
      <c r="G15" t="s">
        <v>63</v>
      </c>
      <c r="H15">
        <v>12244898</v>
      </c>
      <c r="I15">
        <v>0</v>
      </c>
      <c r="J15">
        <v>12244898</v>
      </c>
      <c r="K15">
        <v>0</v>
      </c>
      <c r="L15">
        <v>12083777</v>
      </c>
      <c r="M15">
        <v>12242697</v>
      </c>
      <c r="N15">
        <v>0</v>
      </c>
      <c r="O15">
        <v>0</v>
      </c>
      <c r="P15">
        <v>161104</v>
      </c>
      <c r="Q15">
        <v>0</v>
      </c>
      <c r="R15">
        <v>0</v>
      </c>
      <c r="S15">
        <v>0</v>
      </c>
      <c r="T15">
        <v>2201</v>
      </c>
      <c r="U15">
        <v>17</v>
      </c>
      <c r="V15">
        <v>0</v>
      </c>
      <c r="W15">
        <v>0</v>
      </c>
      <c r="X15">
        <v>2201</v>
      </c>
      <c r="Y15">
        <v>12083777</v>
      </c>
      <c r="Z15">
        <v>158920</v>
      </c>
      <c r="AA15">
        <v>0</v>
      </c>
      <c r="AB15">
        <v>0</v>
      </c>
      <c r="AC15">
        <v>2184</v>
      </c>
      <c r="AD15">
        <v>0</v>
      </c>
      <c r="AE15">
        <v>0</v>
      </c>
      <c r="AF15">
        <v>0</v>
      </c>
      <c r="AG15">
        <v>17</v>
      </c>
      <c r="AH15">
        <v>0</v>
      </c>
      <c r="AI15">
        <v>0</v>
      </c>
      <c r="AJ15">
        <v>0</v>
      </c>
      <c r="AK15" s="1">
        <f t="shared" si="0"/>
        <v>2201</v>
      </c>
    </row>
    <row r="16" spans="1:37" x14ac:dyDescent="0.25">
      <c r="A16">
        <v>202607</v>
      </c>
      <c r="B16" t="s">
        <v>33</v>
      </c>
      <c r="C16">
        <v>15</v>
      </c>
      <c r="D16" t="s">
        <v>64</v>
      </c>
      <c r="E16" s="1" t="str">
        <f>VLOOKUP(D16,[1]Sheet1!$B$2:$C$735,2,0)</f>
        <v>XIMALAYA</v>
      </c>
      <c r="F16" t="s">
        <v>50</v>
      </c>
      <c r="G16" t="s">
        <v>65</v>
      </c>
      <c r="H16">
        <v>8422727</v>
      </c>
      <c r="I16">
        <v>4806959</v>
      </c>
      <c r="J16">
        <v>3615768</v>
      </c>
      <c r="K16">
        <v>0</v>
      </c>
      <c r="L16">
        <v>8287731</v>
      </c>
      <c r="M16">
        <v>3731609</v>
      </c>
      <c r="N16">
        <v>0</v>
      </c>
      <c r="O16">
        <v>0</v>
      </c>
      <c r="P16">
        <v>19155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8287731</v>
      </c>
      <c r="Z16">
        <v>134996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s="1">
        <f t="shared" si="0"/>
        <v>0</v>
      </c>
    </row>
    <row r="17" spans="1:37" ht="42" x14ac:dyDescent="0.25">
      <c r="A17">
        <v>202607</v>
      </c>
      <c r="B17" t="s">
        <v>33</v>
      </c>
      <c r="C17">
        <v>16</v>
      </c>
      <c r="D17" t="s">
        <v>66</v>
      </c>
      <c r="E17" s="1" t="str">
        <f>VLOOKUP(D17,[1]Sheet1!$B$2:$C$735,2,0)</f>
        <v>Tencent Music Group</v>
      </c>
      <c r="F17" t="s">
        <v>50</v>
      </c>
      <c r="G17" t="s">
        <v>51</v>
      </c>
      <c r="H17">
        <v>6075489</v>
      </c>
      <c r="I17">
        <v>0</v>
      </c>
      <c r="J17">
        <v>6075489</v>
      </c>
      <c r="K17">
        <v>0</v>
      </c>
      <c r="L17">
        <v>3241213</v>
      </c>
      <c r="M17">
        <v>6075489</v>
      </c>
      <c r="N17">
        <v>0</v>
      </c>
      <c r="O17">
        <v>0</v>
      </c>
      <c r="P17">
        <v>2834276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3241213</v>
      </c>
      <c r="Z17">
        <v>2834276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s="1">
        <f t="shared" si="0"/>
        <v>0</v>
      </c>
    </row>
    <row r="18" spans="1:37" x14ac:dyDescent="0.25">
      <c r="A18">
        <v>202607</v>
      </c>
      <c r="B18" t="s">
        <v>33</v>
      </c>
      <c r="C18">
        <v>17</v>
      </c>
      <c r="D18" t="s">
        <v>67</v>
      </c>
      <c r="E18" s="1" t="str">
        <f>VLOOKUP(D18,[1]Sheet1!$B$2:$C$735,2,0)</f>
        <v>CAINIAO</v>
      </c>
      <c r="F18" t="s">
        <v>59</v>
      </c>
      <c r="G18" t="s">
        <v>68</v>
      </c>
      <c r="H18">
        <v>5044281</v>
      </c>
      <c r="I18">
        <v>7187</v>
      </c>
      <c r="J18">
        <v>5037094</v>
      </c>
      <c r="K18">
        <v>0</v>
      </c>
      <c r="L18">
        <v>5015737</v>
      </c>
      <c r="M18">
        <v>5017767</v>
      </c>
      <c r="N18">
        <v>0</v>
      </c>
      <c r="O18">
        <v>0</v>
      </c>
      <c r="P18">
        <v>2066</v>
      </c>
      <c r="Q18">
        <v>0</v>
      </c>
      <c r="R18">
        <v>0</v>
      </c>
      <c r="S18">
        <v>0</v>
      </c>
      <c r="T18">
        <v>19327</v>
      </c>
      <c r="U18">
        <v>19291</v>
      </c>
      <c r="V18">
        <v>7187</v>
      </c>
      <c r="W18">
        <v>0</v>
      </c>
      <c r="X18">
        <v>26514</v>
      </c>
      <c r="Y18">
        <v>5015737</v>
      </c>
      <c r="Z18">
        <v>2030</v>
      </c>
      <c r="AA18">
        <v>0</v>
      </c>
      <c r="AB18">
        <v>0</v>
      </c>
      <c r="AC18">
        <v>36</v>
      </c>
      <c r="AD18">
        <v>0</v>
      </c>
      <c r="AE18">
        <v>0</v>
      </c>
      <c r="AF18">
        <v>0</v>
      </c>
      <c r="AG18">
        <v>19291</v>
      </c>
      <c r="AH18">
        <v>0</v>
      </c>
      <c r="AI18">
        <v>7187</v>
      </c>
      <c r="AJ18">
        <v>0</v>
      </c>
      <c r="AK18" s="1">
        <f t="shared" si="0"/>
        <v>26514</v>
      </c>
    </row>
    <row r="19" spans="1:37" x14ac:dyDescent="0.25">
      <c r="A19">
        <v>202607</v>
      </c>
      <c r="B19" t="s">
        <v>33</v>
      </c>
      <c r="C19">
        <v>18</v>
      </c>
      <c r="D19" t="s">
        <v>69</v>
      </c>
      <c r="E19" s="1" t="str">
        <f>VLOOKUP(D19,[1]Sheet1!$B$2:$C$735,2,0)</f>
        <v>ZHIHU</v>
      </c>
      <c r="F19" t="s">
        <v>47</v>
      </c>
      <c r="G19" t="s">
        <v>70</v>
      </c>
      <c r="H19">
        <v>4574109</v>
      </c>
      <c r="I19">
        <v>0</v>
      </c>
      <c r="J19">
        <v>4574109</v>
      </c>
      <c r="K19">
        <v>0</v>
      </c>
      <c r="L19">
        <v>4571723</v>
      </c>
      <c r="M19">
        <v>4574109</v>
      </c>
      <c r="N19">
        <v>0</v>
      </c>
      <c r="O19">
        <v>0</v>
      </c>
      <c r="P19">
        <v>2386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4571723</v>
      </c>
      <c r="Z19">
        <v>2386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s="1">
        <f t="shared" si="0"/>
        <v>0</v>
      </c>
    </row>
    <row r="20" spans="1:37" x14ac:dyDescent="0.25">
      <c r="A20">
        <v>202607</v>
      </c>
      <c r="B20" t="s">
        <v>33</v>
      </c>
      <c r="C20">
        <v>19</v>
      </c>
      <c r="D20" t="s">
        <v>71</v>
      </c>
      <c r="E20" s="1" t="str">
        <f>VLOOKUP(D20,[1]Sheet1!$B$2:$C$735,2,0)</f>
        <v>QIMAO</v>
      </c>
      <c r="F20" t="s">
        <v>72</v>
      </c>
      <c r="G20" t="s">
        <v>73</v>
      </c>
      <c r="H20">
        <v>3510270</v>
      </c>
      <c r="I20">
        <v>0</v>
      </c>
      <c r="J20">
        <v>3510270</v>
      </c>
      <c r="K20">
        <v>0</v>
      </c>
      <c r="L20">
        <v>3439890</v>
      </c>
      <c r="M20">
        <v>3509673</v>
      </c>
      <c r="N20">
        <v>0</v>
      </c>
      <c r="O20">
        <v>0</v>
      </c>
      <c r="P20">
        <v>70361</v>
      </c>
      <c r="Q20">
        <v>0</v>
      </c>
      <c r="R20">
        <v>0</v>
      </c>
      <c r="S20">
        <v>0</v>
      </c>
      <c r="T20">
        <v>597</v>
      </c>
      <c r="U20">
        <v>19</v>
      </c>
      <c r="V20">
        <v>0</v>
      </c>
      <c r="W20">
        <v>0</v>
      </c>
      <c r="X20">
        <v>597</v>
      </c>
      <c r="Y20">
        <v>3439890</v>
      </c>
      <c r="Z20">
        <v>69783</v>
      </c>
      <c r="AA20">
        <v>0</v>
      </c>
      <c r="AB20">
        <v>0</v>
      </c>
      <c r="AC20">
        <v>578</v>
      </c>
      <c r="AD20">
        <v>0</v>
      </c>
      <c r="AE20">
        <v>0</v>
      </c>
      <c r="AF20">
        <v>0</v>
      </c>
      <c r="AG20">
        <v>19</v>
      </c>
      <c r="AH20">
        <v>0</v>
      </c>
      <c r="AI20">
        <v>0</v>
      </c>
      <c r="AJ20">
        <v>0</v>
      </c>
      <c r="AK20" s="1">
        <f t="shared" si="0"/>
        <v>597</v>
      </c>
    </row>
    <row r="21" spans="1:37" x14ac:dyDescent="0.25">
      <c r="A21">
        <v>202607</v>
      </c>
      <c r="B21" t="s">
        <v>33</v>
      </c>
      <c r="C21">
        <v>20</v>
      </c>
      <c r="D21" t="s">
        <v>74</v>
      </c>
      <c r="E21" s="1" t="str">
        <f>VLOOKUP(D21,[1]Sheet1!$B$2:$C$735,2,0)</f>
        <v>ALIPAY</v>
      </c>
      <c r="F21" t="s">
        <v>75</v>
      </c>
      <c r="G21" t="s">
        <v>76</v>
      </c>
      <c r="H21">
        <v>3240110</v>
      </c>
      <c r="I21">
        <v>158</v>
      </c>
      <c r="J21">
        <v>3239952</v>
      </c>
      <c r="K21">
        <v>0</v>
      </c>
      <c r="L21">
        <v>3235123</v>
      </c>
      <c r="M21">
        <v>3239896</v>
      </c>
      <c r="N21">
        <v>0</v>
      </c>
      <c r="O21">
        <v>0</v>
      </c>
      <c r="P21">
        <v>4844</v>
      </c>
      <c r="Q21">
        <v>0</v>
      </c>
      <c r="R21">
        <v>0</v>
      </c>
      <c r="S21">
        <v>0</v>
      </c>
      <c r="T21">
        <v>199</v>
      </c>
      <c r="U21">
        <v>0</v>
      </c>
      <c r="V21">
        <v>0</v>
      </c>
      <c r="W21">
        <v>0</v>
      </c>
      <c r="X21">
        <v>199</v>
      </c>
      <c r="Y21">
        <v>3235123</v>
      </c>
      <c r="Z21">
        <v>4774</v>
      </c>
      <c r="AA21">
        <v>0</v>
      </c>
      <c r="AB21">
        <v>0</v>
      </c>
      <c r="AC21">
        <v>207</v>
      </c>
      <c r="AD21">
        <v>0</v>
      </c>
      <c r="AE21">
        <v>0</v>
      </c>
      <c r="AF21">
        <v>0</v>
      </c>
      <c r="AG21">
        <v>6</v>
      </c>
      <c r="AH21">
        <v>0</v>
      </c>
      <c r="AI21">
        <v>0</v>
      </c>
      <c r="AJ21">
        <v>0</v>
      </c>
      <c r="AK21" s="1">
        <f t="shared" si="0"/>
        <v>213</v>
      </c>
    </row>
    <row r="22" spans="1:37" ht="28" x14ac:dyDescent="0.25">
      <c r="A22">
        <v>202607</v>
      </c>
      <c r="B22" t="s">
        <v>33</v>
      </c>
      <c r="C22">
        <v>21</v>
      </c>
      <c r="D22" t="s">
        <v>77</v>
      </c>
      <c r="E22" s="1" t="str">
        <f>VLOOKUP(D22,[1]Sheet1!$B$2:$C$735,2,0)</f>
        <v>QQ BROWSER</v>
      </c>
      <c r="F22" t="s">
        <v>47</v>
      </c>
      <c r="G22" t="s">
        <v>78</v>
      </c>
      <c r="H22">
        <v>2410588</v>
      </c>
      <c r="I22">
        <v>0</v>
      </c>
      <c r="J22">
        <v>2410588</v>
      </c>
      <c r="K22">
        <v>0</v>
      </c>
      <c r="L22">
        <v>1755112</v>
      </c>
      <c r="M22">
        <v>2410588</v>
      </c>
      <c r="N22">
        <v>0</v>
      </c>
      <c r="O22">
        <v>0</v>
      </c>
      <c r="P22">
        <v>655476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1755112</v>
      </c>
      <c r="Z22">
        <v>655476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s="1">
        <f t="shared" si="0"/>
        <v>0</v>
      </c>
    </row>
    <row r="23" spans="1:37" ht="28" x14ac:dyDescent="0.25">
      <c r="A23">
        <v>202607</v>
      </c>
      <c r="B23" t="s">
        <v>33</v>
      </c>
      <c r="C23">
        <v>22</v>
      </c>
      <c r="D23" t="s">
        <v>79</v>
      </c>
      <c r="E23" s="1" t="str">
        <f>VLOOKUP(D23,[1]Sheet1!$B$2:$C$735,2,0)</f>
        <v>TENCENT NEWS</v>
      </c>
      <c r="F23" t="s">
        <v>80</v>
      </c>
      <c r="G23" t="s">
        <v>81</v>
      </c>
      <c r="H23">
        <v>987082</v>
      </c>
      <c r="I23">
        <v>0</v>
      </c>
      <c r="J23">
        <v>987082</v>
      </c>
      <c r="K23">
        <v>0</v>
      </c>
      <c r="L23">
        <v>544530</v>
      </c>
      <c r="M23">
        <v>987082</v>
      </c>
      <c r="N23">
        <v>0</v>
      </c>
      <c r="O23">
        <v>0</v>
      </c>
      <c r="P23">
        <v>442552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544530</v>
      </c>
      <c r="Z23">
        <v>442552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s="1">
        <f t="shared" si="0"/>
        <v>0</v>
      </c>
    </row>
    <row r="24" spans="1:37" x14ac:dyDescent="0.25">
      <c r="A24">
        <v>202607</v>
      </c>
      <c r="B24" t="s">
        <v>33</v>
      </c>
      <c r="C24">
        <v>23</v>
      </c>
      <c r="D24" t="s">
        <v>82</v>
      </c>
      <c r="E24" s="1" t="str">
        <f>VLOOKUP(D24,[1]Sheet1!$B$2:$C$735,2,0)</f>
        <v>BILIBILI</v>
      </c>
      <c r="F24" t="s">
        <v>35</v>
      </c>
      <c r="G24" t="s">
        <v>36</v>
      </c>
      <c r="H24">
        <v>122499</v>
      </c>
      <c r="I24">
        <v>0</v>
      </c>
      <c r="J24">
        <v>122499</v>
      </c>
      <c r="K24">
        <v>0</v>
      </c>
      <c r="L24">
        <v>122499</v>
      </c>
      <c r="M24">
        <v>122499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122499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s="1">
        <f t="shared" si="0"/>
        <v>0</v>
      </c>
    </row>
    <row r="25" spans="1:37" s="1" customFormat="1" x14ac:dyDescent="0.25">
      <c r="A25">
        <v>202607</v>
      </c>
      <c r="B25" t="s">
        <v>83</v>
      </c>
      <c r="C25" s="1">
        <v>1</v>
      </c>
      <c r="D25" s="1" t="s">
        <v>188</v>
      </c>
      <c r="E25" s="1" t="s">
        <v>193</v>
      </c>
      <c r="F25" s="1" t="s">
        <v>42</v>
      </c>
      <c r="G25" s="1" t="s">
        <v>111</v>
      </c>
      <c r="H25" s="1">
        <v>544797192</v>
      </c>
      <c r="I25" s="1">
        <v>0</v>
      </c>
      <c r="J25" s="1">
        <v>544797192</v>
      </c>
      <c r="K25" s="1">
        <v>0</v>
      </c>
      <c r="L25" s="1">
        <v>522752445</v>
      </c>
      <c r="M25" s="1">
        <v>544797180</v>
      </c>
      <c r="N25">
        <v>0</v>
      </c>
      <c r="O25">
        <v>0</v>
      </c>
      <c r="P25" s="1">
        <v>22044745</v>
      </c>
      <c r="R25">
        <v>0</v>
      </c>
      <c r="S25">
        <v>0</v>
      </c>
      <c r="T25" s="1">
        <v>10</v>
      </c>
      <c r="U25">
        <v>0</v>
      </c>
      <c r="V25" s="1">
        <v>2</v>
      </c>
      <c r="W25" s="1">
        <v>2</v>
      </c>
      <c r="X25" s="1">
        <v>12</v>
      </c>
      <c r="Y25" s="1">
        <v>522752445</v>
      </c>
      <c r="Z25" s="1">
        <v>22044735</v>
      </c>
      <c r="AA25">
        <v>0</v>
      </c>
      <c r="AB25">
        <v>0</v>
      </c>
      <c r="AC25" s="1">
        <v>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 s="1">
        <f t="shared" si="0"/>
        <v>12</v>
      </c>
    </row>
    <row r="26" spans="1:37" x14ac:dyDescent="0.25">
      <c r="A26">
        <v>202607</v>
      </c>
      <c r="B26" t="s">
        <v>83</v>
      </c>
      <c r="C26">
        <v>2</v>
      </c>
      <c r="D26" t="s">
        <v>34</v>
      </c>
      <c r="E26" s="1" t="str">
        <f>VLOOKUP(D26,[1]Sheet1!$B$2:$C$735,2,0)</f>
        <v>IQIYI</v>
      </c>
      <c r="F26" t="s">
        <v>35</v>
      </c>
      <c r="G26" t="s">
        <v>36</v>
      </c>
      <c r="H26">
        <v>1370320327</v>
      </c>
      <c r="I26">
        <v>5</v>
      </c>
      <c r="J26">
        <v>1370312137</v>
      </c>
      <c r="K26">
        <v>8185</v>
      </c>
      <c r="L26">
        <v>1364065340</v>
      </c>
      <c r="M26">
        <v>1370308360</v>
      </c>
      <c r="N26">
        <v>0</v>
      </c>
      <c r="O26">
        <v>0</v>
      </c>
      <c r="P26">
        <v>6254476</v>
      </c>
      <c r="Q26">
        <v>0</v>
      </c>
      <c r="R26">
        <v>0</v>
      </c>
      <c r="S26">
        <v>0</v>
      </c>
      <c r="T26">
        <v>17423</v>
      </c>
      <c r="U26">
        <v>11067</v>
      </c>
      <c r="V26">
        <v>8167</v>
      </c>
      <c r="W26">
        <v>1</v>
      </c>
      <c r="X26">
        <v>17426</v>
      </c>
      <c r="Y26">
        <v>1364065340</v>
      </c>
      <c r="Z26">
        <v>6243020</v>
      </c>
      <c r="AA26">
        <v>0</v>
      </c>
      <c r="AB26">
        <v>0</v>
      </c>
      <c r="AC26">
        <v>6348</v>
      </c>
      <c r="AD26">
        <v>0</v>
      </c>
      <c r="AE26">
        <v>0</v>
      </c>
      <c r="AF26">
        <v>0</v>
      </c>
      <c r="AG26">
        <v>5616</v>
      </c>
      <c r="AH26">
        <v>0</v>
      </c>
      <c r="AI26">
        <v>3</v>
      </c>
      <c r="AJ26">
        <v>0</v>
      </c>
      <c r="AK26" s="1">
        <f t="shared" si="0"/>
        <v>11967</v>
      </c>
    </row>
    <row r="27" spans="1:37" x14ac:dyDescent="0.25">
      <c r="A27">
        <v>202607</v>
      </c>
      <c r="B27" t="s">
        <v>83</v>
      </c>
      <c r="C27">
        <v>3</v>
      </c>
      <c r="D27" t="s">
        <v>37</v>
      </c>
      <c r="E27" s="1" t="str">
        <f>VLOOKUP(D27,[1]Sheet1!$B$2:$C$735,2,0)</f>
        <v>DOUYIN</v>
      </c>
      <c r="F27" t="s">
        <v>35</v>
      </c>
      <c r="G27" t="s">
        <v>38</v>
      </c>
      <c r="H27">
        <v>1359163835</v>
      </c>
      <c r="I27">
        <v>0</v>
      </c>
      <c r="J27">
        <v>1359163835</v>
      </c>
      <c r="K27">
        <v>0</v>
      </c>
      <c r="L27">
        <v>1359045810</v>
      </c>
      <c r="M27">
        <v>1359163598</v>
      </c>
      <c r="N27">
        <v>0</v>
      </c>
      <c r="O27">
        <v>0</v>
      </c>
      <c r="P27">
        <v>118025</v>
      </c>
      <c r="Q27">
        <v>0</v>
      </c>
      <c r="R27">
        <v>0</v>
      </c>
      <c r="S27">
        <v>0</v>
      </c>
      <c r="T27">
        <v>237</v>
      </c>
      <c r="U27">
        <v>0</v>
      </c>
      <c r="V27">
        <v>0</v>
      </c>
      <c r="W27">
        <v>0</v>
      </c>
      <c r="X27">
        <v>237</v>
      </c>
      <c r="Y27">
        <v>1359045810</v>
      </c>
      <c r="Z27">
        <v>117788</v>
      </c>
      <c r="AA27">
        <v>0</v>
      </c>
      <c r="AB27">
        <v>0</v>
      </c>
      <c r="AC27">
        <v>237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s="1">
        <f t="shared" si="0"/>
        <v>237</v>
      </c>
    </row>
    <row r="28" spans="1:37" ht="28" x14ac:dyDescent="0.25">
      <c r="A28">
        <v>202607</v>
      </c>
      <c r="B28" t="s">
        <v>83</v>
      </c>
      <c r="C28">
        <v>4</v>
      </c>
      <c r="D28" t="s">
        <v>39</v>
      </c>
      <c r="E28" s="1" t="str">
        <f>VLOOKUP(D28,[1]Sheet1!$B$2:$C$735,2,0)</f>
        <v>TENCENT VIDEO</v>
      </c>
      <c r="F28" t="s">
        <v>35</v>
      </c>
      <c r="G28" t="s">
        <v>36</v>
      </c>
      <c r="H28">
        <v>1636799858</v>
      </c>
      <c r="I28">
        <v>0</v>
      </c>
      <c r="J28">
        <v>1636799858</v>
      </c>
      <c r="K28">
        <v>0</v>
      </c>
      <c r="L28">
        <v>1332126250</v>
      </c>
      <c r="M28">
        <v>1636713269</v>
      </c>
      <c r="N28">
        <v>0</v>
      </c>
      <c r="O28">
        <v>0</v>
      </c>
      <c r="P28">
        <v>304670965</v>
      </c>
      <c r="Q28">
        <v>0</v>
      </c>
      <c r="R28">
        <v>0</v>
      </c>
      <c r="S28">
        <v>0</v>
      </c>
      <c r="T28">
        <v>85938</v>
      </c>
      <c r="U28">
        <v>2121</v>
      </c>
      <c r="V28">
        <v>651</v>
      </c>
      <c r="W28">
        <v>522</v>
      </c>
      <c r="X28">
        <v>86589</v>
      </c>
      <c r="Y28">
        <v>1332126250</v>
      </c>
      <c r="Z28">
        <v>304587019</v>
      </c>
      <c r="AA28">
        <v>0</v>
      </c>
      <c r="AB28">
        <v>0</v>
      </c>
      <c r="AC28">
        <v>83946</v>
      </c>
      <c r="AD28">
        <v>0</v>
      </c>
      <c r="AE28">
        <v>0</v>
      </c>
      <c r="AF28">
        <v>0</v>
      </c>
      <c r="AG28">
        <v>1992</v>
      </c>
      <c r="AH28">
        <v>129</v>
      </c>
      <c r="AI28">
        <v>522</v>
      </c>
      <c r="AJ28">
        <v>0</v>
      </c>
      <c r="AK28" s="1">
        <f t="shared" si="0"/>
        <v>86589</v>
      </c>
    </row>
    <row r="29" spans="1:37" x14ac:dyDescent="0.25">
      <c r="A29">
        <v>202607</v>
      </c>
      <c r="B29" t="s">
        <v>83</v>
      </c>
      <c r="C29">
        <v>5</v>
      </c>
      <c r="D29" t="s">
        <v>40</v>
      </c>
      <c r="E29" s="1" t="str">
        <f>VLOOKUP(D29,[1]Sheet1!$B$2:$C$735,2,0)</f>
        <v>YOUKU</v>
      </c>
      <c r="F29" t="s">
        <v>35</v>
      </c>
      <c r="G29" t="s">
        <v>36</v>
      </c>
      <c r="H29">
        <v>849598929</v>
      </c>
      <c r="I29">
        <v>1242</v>
      </c>
      <c r="J29">
        <v>769289821</v>
      </c>
      <c r="K29">
        <v>80307866</v>
      </c>
      <c r="L29">
        <v>787691211</v>
      </c>
      <c r="M29">
        <v>840503221</v>
      </c>
      <c r="N29">
        <v>0</v>
      </c>
      <c r="O29">
        <v>0</v>
      </c>
      <c r="P29">
        <v>132331386</v>
      </c>
      <c r="Q29">
        <v>0</v>
      </c>
      <c r="R29">
        <v>0</v>
      </c>
      <c r="S29">
        <v>0</v>
      </c>
      <c r="T29">
        <v>88206477</v>
      </c>
      <c r="U29">
        <v>87025523</v>
      </c>
      <c r="V29">
        <v>80308764</v>
      </c>
      <c r="W29">
        <v>0</v>
      </c>
      <c r="X29">
        <v>88207375</v>
      </c>
      <c r="Y29">
        <v>787691211</v>
      </c>
      <c r="Z29">
        <v>52812081</v>
      </c>
      <c r="AA29">
        <v>0</v>
      </c>
      <c r="AB29">
        <v>0</v>
      </c>
      <c r="AC29">
        <v>1192992</v>
      </c>
      <c r="AD29">
        <v>0</v>
      </c>
      <c r="AE29">
        <v>0</v>
      </c>
      <c r="AF29">
        <v>0</v>
      </c>
      <c r="AG29">
        <v>7901747</v>
      </c>
      <c r="AH29">
        <v>0</v>
      </c>
      <c r="AI29">
        <v>898</v>
      </c>
      <c r="AJ29">
        <v>0</v>
      </c>
      <c r="AK29" s="1">
        <f t="shared" si="0"/>
        <v>9095637</v>
      </c>
    </row>
    <row r="30" spans="1:37" ht="28" x14ac:dyDescent="0.25">
      <c r="A30">
        <v>202607</v>
      </c>
      <c r="B30" t="s">
        <v>83</v>
      </c>
      <c r="C30">
        <v>6</v>
      </c>
      <c r="D30" t="s">
        <v>41</v>
      </c>
      <c r="E30" s="1" t="str">
        <f>VLOOKUP(D30,[1]Sheet1!$B$2:$C$735,2,0)</f>
        <v>SINA WEIBO</v>
      </c>
      <c r="F30" t="s">
        <v>42</v>
      </c>
      <c r="G30" t="s">
        <v>43</v>
      </c>
      <c r="H30">
        <v>973425115</v>
      </c>
      <c r="I30">
        <v>144</v>
      </c>
      <c r="J30">
        <v>973424971</v>
      </c>
      <c r="K30">
        <v>0</v>
      </c>
      <c r="L30">
        <v>971646831</v>
      </c>
      <c r="M30">
        <v>973331156</v>
      </c>
      <c r="N30">
        <v>0</v>
      </c>
      <c r="O30">
        <v>0</v>
      </c>
      <c r="P30">
        <v>1777778</v>
      </c>
      <c r="Q30">
        <v>0</v>
      </c>
      <c r="R30">
        <v>0</v>
      </c>
      <c r="S30">
        <v>0</v>
      </c>
      <c r="T30">
        <v>93815</v>
      </c>
      <c r="U30">
        <v>352</v>
      </c>
      <c r="V30">
        <v>154</v>
      </c>
      <c r="W30">
        <v>0</v>
      </c>
      <c r="X30">
        <v>93959</v>
      </c>
      <c r="Y30">
        <v>971646831</v>
      </c>
      <c r="Z30">
        <v>1684325</v>
      </c>
      <c r="AA30">
        <v>0</v>
      </c>
      <c r="AB30">
        <v>0</v>
      </c>
      <c r="AC30">
        <v>93453</v>
      </c>
      <c r="AD30">
        <v>0</v>
      </c>
      <c r="AE30">
        <v>0</v>
      </c>
      <c r="AF30">
        <v>0</v>
      </c>
      <c r="AG30">
        <v>362</v>
      </c>
      <c r="AH30">
        <v>0</v>
      </c>
      <c r="AI30">
        <v>144</v>
      </c>
      <c r="AJ30">
        <v>0</v>
      </c>
      <c r="AK30" s="1">
        <f t="shared" si="0"/>
        <v>93959</v>
      </c>
    </row>
    <row r="31" spans="1:37" x14ac:dyDescent="0.25">
      <c r="A31">
        <v>202607</v>
      </c>
      <c r="B31" t="s">
        <v>83</v>
      </c>
      <c r="C31">
        <v>7</v>
      </c>
      <c r="D31" t="s">
        <v>44</v>
      </c>
      <c r="E31" s="1" t="str">
        <f>VLOOKUP(D31,[1]Sheet1!$B$2:$C$735,2,0)</f>
        <v>TENCENT</v>
      </c>
      <c r="F31" t="s">
        <v>45</v>
      </c>
      <c r="G31" t="s">
        <v>45</v>
      </c>
      <c r="H31">
        <v>1004657427</v>
      </c>
      <c r="I31">
        <v>493379996</v>
      </c>
      <c r="J31">
        <v>511277361</v>
      </c>
      <c r="K31">
        <v>70</v>
      </c>
      <c r="L31">
        <v>129496904</v>
      </c>
      <c r="M31">
        <v>147789865</v>
      </c>
      <c r="N31">
        <v>0</v>
      </c>
      <c r="O31">
        <v>855094725</v>
      </c>
      <c r="P31">
        <v>381614283</v>
      </c>
      <c r="Q31">
        <v>0</v>
      </c>
      <c r="R31">
        <v>0</v>
      </c>
      <c r="S31">
        <v>0</v>
      </c>
      <c r="T31">
        <v>1730306</v>
      </c>
      <c r="U31">
        <v>137252</v>
      </c>
      <c r="V31">
        <v>42531</v>
      </c>
      <c r="W31">
        <v>29062</v>
      </c>
      <c r="X31">
        <v>1772837</v>
      </c>
      <c r="Y31">
        <v>129496904</v>
      </c>
      <c r="Z31">
        <v>18292961</v>
      </c>
      <c r="AA31">
        <v>0</v>
      </c>
      <c r="AB31">
        <v>855094725</v>
      </c>
      <c r="AC31">
        <v>1606581</v>
      </c>
      <c r="AD31">
        <v>0</v>
      </c>
      <c r="AE31">
        <v>0</v>
      </c>
      <c r="AF31">
        <v>0</v>
      </c>
      <c r="AG31">
        <v>123725</v>
      </c>
      <c r="AH31">
        <v>13527</v>
      </c>
      <c r="AI31">
        <v>29004</v>
      </c>
      <c r="AJ31">
        <v>0</v>
      </c>
      <c r="AK31" s="1">
        <f t="shared" si="0"/>
        <v>856867562</v>
      </c>
    </row>
    <row r="32" spans="1:37" x14ac:dyDescent="0.25">
      <c r="A32">
        <v>202607</v>
      </c>
      <c r="B32" t="s">
        <v>83</v>
      </c>
      <c r="C32">
        <v>8</v>
      </c>
      <c r="D32" t="s">
        <v>46</v>
      </c>
      <c r="E32" s="1" t="str">
        <f>VLOOKUP(D32,[1]Sheet1!$B$2:$C$735,2,0)</f>
        <v>BAIDU</v>
      </c>
      <c r="F32" t="s">
        <v>47</v>
      </c>
      <c r="G32" t="s">
        <v>48</v>
      </c>
      <c r="H32">
        <v>146505941</v>
      </c>
      <c r="I32">
        <v>270020</v>
      </c>
      <c r="J32">
        <v>146235921</v>
      </c>
      <c r="K32">
        <v>0</v>
      </c>
      <c r="L32">
        <v>47898388</v>
      </c>
      <c r="M32">
        <v>146352031</v>
      </c>
      <c r="N32">
        <v>2</v>
      </c>
      <c r="O32">
        <v>0</v>
      </c>
      <c r="P32">
        <v>98427455</v>
      </c>
      <c r="Q32">
        <v>723</v>
      </c>
      <c r="R32">
        <v>2</v>
      </c>
      <c r="S32">
        <v>12</v>
      </c>
      <c r="T32">
        <v>51014</v>
      </c>
      <c r="U32">
        <v>11130</v>
      </c>
      <c r="V32">
        <v>856</v>
      </c>
      <c r="W32">
        <v>249</v>
      </c>
      <c r="X32">
        <v>61752</v>
      </c>
      <c r="Y32">
        <v>47898388</v>
      </c>
      <c r="Z32">
        <v>98465446</v>
      </c>
      <c r="AA32">
        <v>0</v>
      </c>
      <c r="AB32">
        <v>0</v>
      </c>
      <c r="AC32">
        <v>119450</v>
      </c>
      <c r="AD32">
        <v>280</v>
      </c>
      <c r="AE32">
        <v>0</v>
      </c>
      <c r="AF32">
        <v>2</v>
      </c>
      <c r="AG32">
        <v>17066</v>
      </c>
      <c r="AH32">
        <v>4776</v>
      </c>
      <c r="AI32">
        <v>451</v>
      </c>
      <c r="AJ32">
        <v>82</v>
      </c>
      <c r="AK32" s="1">
        <f t="shared" si="0"/>
        <v>142107</v>
      </c>
    </row>
    <row r="33" spans="1:37" ht="28" x14ac:dyDescent="0.25">
      <c r="A33">
        <v>202607</v>
      </c>
      <c r="B33" t="s">
        <v>83</v>
      </c>
      <c r="C33">
        <v>9</v>
      </c>
      <c r="D33" t="s">
        <v>49</v>
      </c>
      <c r="E33" s="1" t="str">
        <f>VLOOKUP(D33,[1]Sheet1!$B$2:$C$735,2,0)</f>
        <v>NETEASE MUSIC</v>
      </c>
      <c r="F33" t="s">
        <v>50</v>
      </c>
      <c r="G33" t="s">
        <v>51</v>
      </c>
      <c r="H33">
        <v>224281335</v>
      </c>
      <c r="I33">
        <v>57313</v>
      </c>
      <c r="J33">
        <v>224222869</v>
      </c>
      <c r="K33">
        <v>1153</v>
      </c>
      <c r="L33">
        <v>17595586</v>
      </c>
      <c r="M33">
        <v>224033390</v>
      </c>
      <c r="N33">
        <v>0</v>
      </c>
      <c r="O33">
        <v>0</v>
      </c>
      <c r="P33">
        <v>206674236</v>
      </c>
      <c r="Q33">
        <v>0</v>
      </c>
      <c r="R33">
        <v>0</v>
      </c>
      <c r="S33">
        <v>0</v>
      </c>
      <c r="T33">
        <v>193100</v>
      </c>
      <c r="U33">
        <v>10830</v>
      </c>
      <c r="V33">
        <v>1629</v>
      </c>
      <c r="W33">
        <v>0</v>
      </c>
      <c r="X33">
        <v>193590</v>
      </c>
      <c r="Y33">
        <v>17595586</v>
      </c>
      <c r="Z33">
        <v>206493025</v>
      </c>
      <c r="AA33">
        <v>0</v>
      </c>
      <c r="AB33">
        <v>0</v>
      </c>
      <c r="AC33">
        <v>182091</v>
      </c>
      <c r="AD33">
        <v>0</v>
      </c>
      <c r="AE33">
        <v>0</v>
      </c>
      <c r="AF33">
        <v>0</v>
      </c>
      <c r="AG33">
        <v>10145</v>
      </c>
      <c r="AH33">
        <v>0</v>
      </c>
      <c r="AI33">
        <v>488</v>
      </c>
      <c r="AJ33">
        <v>0</v>
      </c>
      <c r="AK33" s="1">
        <f t="shared" si="0"/>
        <v>192724</v>
      </c>
    </row>
    <row r="34" spans="1:37" x14ac:dyDescent="0.25">
      <c r="A34">
        <v>202607</v>
      </c>
      <c r="B34" t="s">
        <v>83</v>
      </c>
      <c r="C34">
        <v>10</v>
      </c>
      <c r="D34" t="s">
        <v>52</v>
      </c>
      <c r="E34" s="1" t="str">
        <f>VLOOKUP(D34,[1]Sheet1!$B$2:$C$735,2,0)</f>
        <v>HUNANTV</v>
      </c>
      <c r="F34" t="s">
        <v>35</v>
      </c>
      <c r="G34" t="s">
        <v>36</v>
      </c>
      <c r="H34">
        <v>1235026687</v>
      </c>
      <c r="I34">
        <v>247</v>
      </c>
      <c r="J34">
        <v>1235026438</v>
      </c>
      <c r="K34">
        <v>2</v>
      </c>
      <c r="L34">
        <v>239386349</v>
      </c>
      <c r="M34">
        <v>1231644156</v>
      </c>
      <c r="N34">
        <v>0</v>
      </c>
      <c r="O34">
        <v>0</v>
      </c>
      <c r="P34">
        <v>995614486</v>
      </c>
      <c r="Q34">
        <v>0</v>
      </c>
      <c r="R34">
        <v>0</v>
      </c>
      <c r="S34">
        <v>0</v>
      </c>
      <c r="T34">
        <v>3382413</v>
      </c>
      <c r="U34">
        <v>25723</v>
      </c>
      <c r="V34">
        <v>2</v>
      </c>
      <c r="W34">
        <v>0</v>
      </c>
      <c r="X34">
        <v>3382413</v>
      </c>
      <c r="Y34">
        <v>239386349</v>
      </c>
      <c r="Z34">
        <v>992257860</v>
      </c>
      <c r="AA34">
        <v>0</v>
      </c>
      <c r="AB34">
        <v>0</v>
      </c>
      <c r="AC34">
        <v>3356733</v>
      </c>
      <c r="AD34">
        <v>0</v>
      </c>
      <c r="AE34">
        <v>0</v>
      </c>
      <c r="AF34">
        <v>0</v>
      </c>
      <c r="AG34">
        <v>25745</v>
      </c>
      <c r="AH34">
        <v>0</v>
      </c>
      <c r="AI34">
        <v>0</v>
      </c>
      <c r="AJ34">
        <v>0</v>
      </c>
      <c r="AK34" s="1">
        <f t="shared" si="0"/>
        <v>3382478</v>
      </c>
    </row>
    <row r="35" spans="1:37" x14ac:dyDescent="0.25">
      <c r="A35">
        <v>202607</v>
      </c>
      <c r="B35" t="s">
        <v>83</v>
      </c>
      <c r="C35">
        <v>11</v>
      </c>
      <c r="D35" t="s">
        <v>53</v>
      </c>
      <c r="E35" s="1" t="str">
        <f>VLOOKUP(D35,[1]Sheet1!$B$2:$C$735,2,0)</f>
        <v>MEITU</v>
      </c>
      <c r="F35" t="s">
        <v>54</v>
      </c>
      <c r="G35" t="s">
        <v>54</v>
      </c>
      <c r="H35">
        <v>141857276</v>
      </c>
      <c r="I35">
        <v>4</v>
      </c>
      <c r="J35">
        <v>141857272</v>
      </c>
      <c r="K35">
        <v>0</v>
      </c>
      <c r="L35">
        <v>137518861</v>
      </c>
      <c r="M35">
        <v>141848056</v>
      </c>
      <c r="N35">
        <v>0</v>
      </c>
      <c r="O35">
        <v>0</v>
      </c>
      <c r="P35">
        <v>4337551</v>
      </c>
      <c r="Q35">
        <v>0</v>
      </c>
      <c r="R35">
        <v>0</v>
      </c>
      <c r="S35">
        <v>0</v>
      </c>
      <c r="T35">
        <v>8995</v>
      </c>
      <c r="U35">
        <v>702</v>
      </c>
      <c r="V35">
        <v>225</v>
      </c>
      <c r="W35">
        <v>158</v>
      </c>
      <c r="X35">
        <v>9220</v>
      </c>
      <c r="Y35">
        <v>137518861</v>
      </c>
      <c r="Z35">
        <v>4329195</v>
      </c>
      <c r="AA35">
        <v>0</v>
      </c>
      <c r="AB35">
        <v>0</v>
      </c>
      <c r="AC35">
        <v>8356</v>
      </c>
      <c r="AD35">
        <v>0</v>
      </c>
      <c r="AE35">
        <v>0</v>
      </c>
      <c r="AF35">
        <v>0</v>
      </c>
      <c r="AG35">
        <v>639</v>
      </c>
      <c r="AH35">
        <v>63</v>
      </c>
      <c r="AI35">
        <v>162</v>
      </c>
      <c r="AJ35">
        <v>0</v>
      </c>
      <c r="AK35" s="1">
        <f t="shared" si="0"/>
        <v>9220</v>
      </c>
    </row>
    <row r="36" spans="1:37" x14ac:dyDescent="0.25">
      <c r="A36">
        <v>202607</v>
      </c>
      <c r="B36" t="s">
        <v>83</v>
      </c>
      <c r="C36">
        <v>12</v>
      </c>
      <c r="D36" t="s">
        <v>55</v>
      </c>
      <c r="E36" s="1" t="str">
        <f>VLOOKUP(D36,[1]Sheet1!$B$2:$C$735,2,0)</f>
        <v>MEIYOU</v>
      </c>
      <c r="F36" t="s">
        <v>56</v>
      </c>
      <c r="G36" t="s">
        <v>57</v>
      </c>
      <c r="H36">
        <v>46388614</v>
      </c>
      <c r="I36">
        <v>0</v>
      </c>
      <c r="J36">
        <v>46388614</v>
      </c>
      <c r="K36">
        <v>0</v>
      </c>
      <c r="L36">
        <v>46224410</v>
      </c>
      <c r="M36">
        <v>46388614</v>
      </c>
      <c r="N36">
        <v>0</v>
      </c>
      <c r="O36">
        <v>0</v>
      </c>
      <c r="P36">
        <v>164204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46224410</v>
      </c>
      <c r="Z36">
        <v>164204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s="1">
        <f t="shared" si="0"/>
        <v>0</v>
      </c>
    </row>
    <row r="37" spans="1:37" ht="28" x14ac:dyDescent="0.25">
      <c r="A37">
        <v>202607</v>
      </c>
      <c r="B37" t="s">
        <v>83</v>
      </c>
      <c r="C37">
        <v>13</v>
      </c>
      <c r="D37" t="s">
        <v>58</v>
      </c>
      <c r="E37" s="1" t="str">
        <f>VLOOKUP(D37,[1]Sheet1!$B$2:$C$735,2,0)</f>
        <v>BAIDU MAP</v>
      </c>
      <c r="F37" t="s">
        <v>59</v>
      </c>
      <c r="G37" t="s">
        <v>60</v>
      </c>
      <c r="H37">
        <v>72389249</v>
      </c>
      <c r="I37">
        <v>236044</v>
      </c>
      <c r="J37">
        <v>72153202</v>
      </c>
      <c r="K37">
        <v>3</v>
      </c>
      <c r="L37">
        <v>31876947</v>
      </c>
      <c r="M37">
        <v>72267261</v>
      </c>
      <c r="N37">
        <v>0</v>
      </c>
      <c r="O37">
        <v>0</v>
      </c>
      <c r="P37">
        <v>40348923</v>
      </c>
      <c r="Q37">
        <v>291</v>
      </c>
      <c r="R37">
        <v>1</v>
      </c>
      <c r="S37">
        <v>3</v>
      </c>
      <c r="T37">
        <v>42913</v>
      </c>
      <c r="U37">
        <v>5783</v>
      </c>
      <c r="V37">
        <v>143</v>
      </c>
      <c r="W37">
        <v>192</v>
      </c>
      <c r="X37">
        <v>47440</v>
      </c>
      <c r="Y37">
        <v>31876947</v>
      </c>
      <c r="Z37">
        <v>40405100</v>
      </c>
      <c r="AA37">
        <v>0</v>
      </c>
      <c r="AB37">
        <v>0</v>
      </c>
      <c r="AC37">
        <v>87272</v>
      </c>
      <c r="AD37">
        <v>159</v>
      </c>
      <c r="AE37">
        <v>0</v>
      </c>
      <c r="AF37">
        <v>2</v>
      </c>
      <c r="AG37">
        <v>17410</v>
      </c>
      <c r="AH37">
        <v>2184</v>
      </c>
      <c r="AI37">
        <v>77</v>
      </c>
      <c r="AJ37">
        <v>98</v>
      </c>
      <c r="AK37" s="1">
        <f t="shared" si="0"/>
        <v>107202</v>
      </c>
    </row>
    <row r="38" spans="1:37" x14ac:dyDescent="0.25">
      <c r="A38">
        <v>202607</v>
      </c>
      <c r="B38" t="s">
        <v>83</v>
      </c>
      <c r="C38">
        <v>14</v>
      </c>
      <c r="D38" t="s">
        <v>61</v>
      </c>
      <c r="E38" s="1" t="str">
        <f>VLOOKUP(D38,[1]Sheet1!$B$2:$C$735,2,0)</f>
        <v>LRB</v>
      </c>
      <c r="F38" t="s">
        <v>62</v>
      </c>
      <c r="G38" t="s">
        <v>63</v>
      </c>
      <c r="H38">
        <v>572180129</v>
      </c>
      <c r="I38">
        <v>18</v>
      </c>
      <c r="J38">
        <v>572180089</v>
      </c>
      <c r="K38">
        <v>22</v>
      </c>
      <c r="L38">
        <v>558518128</v>
      </c>
      <c r="M38">
        <v>571962706</v>
      </c>
      <c r="N38">
        <v>0</v>
      </c>
      <c r="O38">
        <v>0</v>
      </c>
      <c r="P38">
        <v>13659137</v>
      </c>
      <c r="Q38">
        <v>0</v>
      </c>
      <c r="R38">
        <v>0</v>
      </c>
      <c r="S38">
        <v>0</v>
      </c>
      <c r="T38">
        <v>217226</v>
      </c>
      <c r="U38">
        <v>2794</v>
      </c>
      <c r="V38">
        <v>215</v>
      </c>
      <c r="W38">
        <v>56</v>
      </c>
      <c r="X38">
        <v>217419</v>
      </c>
      <c r="Y38">
        <v>558518128</v>
      </c>
      <c r="Z38">
        <v>13444581</v>
      </c>
      <c r="AA38">
        <v>0</v>
      </c>
      <c r="AB38">
        <v>0</v>
      </c>
      <c r="AC38">
        <v>214569</v>
      </c>
      <c r="AD38">
        <v>0</v>
      </c>
      <c r="AE38">
        <v>0</v>
      </c>
      <c r="AF38">
        <v>0</v>
      </c>
      <c r="AG38">
        <v>2658</v>
      </c>
      <c r="AH38">
        <v>137</v>
      </c>
      <c r="AI38">
        <v>56</v>
      </c>
      <c r="AJ38">
        <v>0</v>
      </c>
      <c r="AK38" s="1">
        <f t="shared" si="0"/>
        <v>217420</v>
      </c>
    </row>
    <row r="39" spans="1:37" x14ac:dyDescent="0.25">
      <c r="A39">
        <v>202607</v>
      </c>
      <c r="B39" t="s">
        <v>83</v>
      </c>
      <c r="C39">
        <v>15</v>
      </c>
      <c r="D39" t="s">
        <v>64</v>
      </c>
      <c r="E39" s="1" t="str">
        <f>VLOOKUP(D39,[1]Sheet1!$B$2:$C$735,2,0)</f>
        <v>XIMALAYA</v>
      </c>
      <c r="F39" t="s">
        <v>50</v>
      </c>
      <c r="G39" t="s">
        <v>65</v>
      </c>
      <c r="H39">
        <v>38783341</v>
      </c>
      <c r="I39">
        <v>11598622</v>
      </c>
      <c r="J39">
        <v>27184719</v>
      </c>
      <c r="K39">
        <v>0</v>
      </c>
      <c r="L39">
        <v>38469443</v>
      </c>
      <c r="M39">
        <v>27418390</v>
      </c>
      <c r="N39">
        <v>0</v>
      </c>
      <c r="O39">
        <v>0</v>
      </c>
      <c r="P39">
        <v>79125</v>
      </c>
      <c r="Q39">
        <v>0</v>
      </c>
      <c r="R39">
        <v>0</v>
      </c>
      <c r="S39">
        <v>0</v>
      </c>
      <c r="T39">
        <v>562</v>
      </c>
      <c r="U39">
        <v>539</v>
      </c>
      <c r="V39">
        <v>1</v>
      </c>
      <c r="W39">
        <v>0</v>
      </c>
      <c r="X39">
        <v>563</v>
      </c>
      <c r="Y39">
        <v>38469443</v>
      </c>
      <c r="Z39">
        <v>313271</v>
      </c>
      <c r="AA39">
        <v>0</v>
      </c>
      <c r="AB39">
        <v>0</v>
      </c>
      <c r="AC39">
        <v>75</v>
      </c>
      <c r="AD39">
        <v>0</v>
      </c>
      <c r="AE39">
        <v>0</v>
      </c>
      <c r="AF39">
        <v>0</v>
      </c>
      <c r="AG39">
        <v>551</v>
      </c>
      <c r="AH39">
        <v>0</v>
      </c>
      <c r="AI39">
        <v>1</v>
      </c>
      <c r="AJ39">
        <v>0</v>
      </c>
      <c r="AK39" s="1">
        <f t="shared" si="0"/>
        <v>627</v>
      </c>
    </row>
    <row r="40" spans="1:37" ht="42" x14ac:dyDescent="0.25">
      <c r="A40">
        <v>202607</v>
      </c>
      <c r="B40" t="s">
        <v>83</v>
      </c>
      <c r="C40">
        <v>16</v>
      </c>
      <c r="D40" t="s">
        <v>66</v>
      </c>
      <c r="E40" s="1" t="str">
        <f>VLOOKUP(D40,[1]Sheet1!$B$2:$C$735,2,0)</f>
        <v>Tencent Music Group</v>
      </c>
      <c r="F40" t="s">
        <v>50</v>
      </c>
      <c r="G40" t="s">
        <v>51</v>
      </c>
      <c r="H40">
        <v>23977299</v>
      </c>
      <c r="I40">
        <v>0</v>
      </c>
      <c r="J40">
        <v>23977299</v>
      </c>
      <c r="K40">
        <v>0</v>
      </c>
      <c r="L40">
        <v>18020613</v>
      </c>
      <c r="M40">
        <v>23977156</v>
      </c>
      <c r="N40">
        <v>0</v>
      </c>
      <c r="O40">
        <v>0</v>
      </c>
      <c r="P40">
        <v>5956680</v>
      </c>
      <c r="Q40">
        <v>0</v>
      </c>
      <c r="R40">
        <v>0</v>
      </c>
      <c r="S40">
        <v>0</v>
      </c>
      <c r="T40">
        <v>139</v>
      </c>
      <c r="U40">
        <v>4</v>
      </c>
      <c r="V40">
        <v>4</v>
      </c>
      <c r="W40">
        <v>2</v>
      </c>
      <c r="X40">
        <v>143</v>
      </c>
      <c r="Y40">
        <v>18020613</v>
      </c>
      <c r="Z40">
        <v>5956543</v>
      </c>
      <c r="AA40">
        <v>0</v>
      </c>
      <c r="AB40">
        <v>0</v>
      </c>
      <c r="AC40">
        <v>137</v>
      </c>
      <c r="AD40">
        <v>0</v>
      </c>
      <c r="AE40">
        <v>0</v>
      </c>
      <c r="AF40">
        <v>0</v>
      </c>
      <c r="AG40">
        <v>2</v>
      </c>
      <c r="AH40">
        <v>2</v>
      </c>
      <c r="AI40">
        <v>2</v>
      </c>
      <c r="AJ40">
        <v>0</v>
      </c>
      <c r="AK40" s="1">
        <f t="shared" si="0"/>
        <v>143</v>
      </c>
    </row>
    <row r="41" spans="1:37" x14ac:dyDescent="0.25">
      <c r="A41">
        <v>202607</v>
      </c>
      <c r="B41" t="s">
        <v>83</v>
      </c>
      <c r="C41">
        <v>17</v>
      </c>
      <c r="D41" t="s">
        <v>67</v>
      </c>
      <c r="E41" s="1" t="str">
        <f>VLOOKUP(D41,[1]Sheet1!$B$2:$C$735,2,0)</f>
        <v>CAINIAO</v>
      </c>
      <c r="F41" t="s">
        <v>59</v>
      </c>
      <c r="G41" t="s">
        <v>68</v>
      </c>
      <c r="H41">
        <v>25988303</v>
      </c>
      <c r="I41">
        <v>126786</v>
      </c>
      <c r="J41">
        <v>10073840</v>
      </c>
      <c r="K41">
        <v>15787677</v>
      </c>
      <c r="L41">
        <v>25555024</v>
      </c>
      <c r="M41">
        <v>25568284</v>
      </c>
      <c r="N41">
        <v>0</v>
      </c>
      <c r="O41">
        <v>0</v>
      </c>
      <c r="P41">
        <v>15537738</v>
      </c>
      <c r="Q41">
        <v>0</v>
      </c>
      <c r="R41">
        <v>0</v>
      </c>
      <c r="S41">
        <v>0</v>
      </c>
      <c r="T41">
        <v>15826336</v>
      </c>
      <c r="U41">
        <v>15826262</v>
      </c>
      <c r="V41">
        <v>15914463</v>
      </c>
      <c r="W41">
        <v>0</v>
      </c>
      <c r="X41">
        <v>15953122</v>
      </c>
      <c r="Y41">
        <v>25555024</v>
      </c>
      <c r="Z41">
        <v>13260</v>
      </c>
      <c r="AA41">
        <v>0</v>
      </c>
      <c r="AB41">
        <v>0</v>
      </c>
      <c r="AC41">
        <v>341</v>
      </c>
      <c r="AD41">
        <v>0</v>
      </c>
      <c r="AE41">
        <v>0</v>
      </c>
      <c r="AF41">
        <v>0</v>
      </c>
      <c r="AG41">
        <v>292892</v>
      </c>
      <c r="AH41">
        <v>0</v>
      </c>
      <c r="AI41">
        <v>126786</v>
      </c>
      <c r="AJ41">
        <v>0</v>
      </c>
      <c r="AK41" s="1">
        <f t="shared" si="0"/>
        <v>420019</v>
      </c>
    </row>
    <row r="42" spans="1:37" x14ac:dyDescent="0.25">
      <c r="A42">
        <v>202607</v>
      </c>
      <c r="B42" t="s">
        <v>83</v>
      </c>
      <c r="C42">
        <v>18</v>
      </c>
      <c r="D42" t="s">
        <v>69</v>
      </c>
      <c r="E42" s="1" t="str">
        <f>VLOOKUP(D42,[1]Sheet1!$B$2:$C$735,2,0)</f>
        <v>ZHIHU</v>
      </c>
      <c r="F42" t="s">
        <v>47</v>
      </c>
      <c r="G42" t="s">
        <v>70</v>
      </c>
      <c r="H42">
        <v>159386507</v>
      </c>
      <c r="I42">
        <v>136</v>
      </c>
      <c r="J42">
        <v>159386371</v>
      </c>
      <c r="K42">
        <v>0</v>
      </c>
      <c r="L42">
        <v>158106053</v>
      </c>
      <c r="M42">
        <v>159386288</v>
      </c>
      <c r="N42">
        <v>0</v>
      </c>
      <c r="O42">
        <v>0</v>
      </c>
      <c r="P42">
        <v>1280379</v>
      </c>
      <c r="Q42">
        <v>0</v>
      </c>
      <c r="R42">
        <v>0</v>
      </c>
      <c r="S42">
        <v>0</v>
      </c>
      <c r="T42">
        <v>121</v>
      </c>
      <c r="U42">
        <v>29</v>
      </c>
      <c r="V42">
        <v>8</v>
      </c>
      <c r="W42">
        <v>0</v>
      </c>
      <c r="X42">
        <v>158</v>
      </c>
      <c r="Y42">
        <v>158106053</v>
      </c>
      <c r="Z42">
        <v>1280235</v>
      </c>
      <c r="AA42">
        <v>0</v>
      </c>
      <c r="AB42">
        <v>0</v>
      </c>
      <c r="AC42">
        <v>147</v>
      </c>
      <c r="AD42">
        <v>0</v>
      </c>
      <c r="AE42">
        <v>0</v>
      </c>
      <c r="AF42">
        <v>0</v>
      </c>
      <c r="AG42">
        <v>35</v>
      </c>
      <c r="AH42">
        <v>29</v>
      </c>
      <c r="AI42">
        <v>8</v>
      </c>
      <c r="AJ42">
        <v>0</v>
      </c>
      <c r="AK42" s="1">
        <f t="shared" si="0"/>
        <v>219</v>
      </c>
    </row>
    <row r="43" spans="1:37" x14ac:dyDescent="0.25">
      <c r="A43">
        <v>202607</v>
      </c>
      <c r="B43" t="s">
        <v>83</v>
      </c>
      <c r="C43">
        <v>19</v>
      </c>
      <c r="D43" t="s">
        <v>71</v>
      </c>
      <c r="E43" s="1" t="str">
        <f>VLOOKUP(D43,[1]Sheet1!$B$2:$C$735,2,0)</f>
        <v>QIMAO</v>
      </c>
      <c r="F43" t="s">
        <v>72</v>
      </c>
      <c r="G43" t="s">
        <v>73</v>
      </c>
      <c r="H43">
        <v>10232219</v>
      </c>
      <c r="I43">
        <v>0</v>
      </c>
      <c r="J43">
        <v>10232219</v>
      </c>
      <c r="K43">
        <v>0</v>
      </c>
      <c r="L43">
        <v>10051945</v>
      </c>
      <c r="M43">
        <v>10230632</v>
      </c>
      <c r="N43">
        <v>0</v>
      </c>
      <c r="O43">
        <v>0</v>
      </c>
      <c r="P43">
        <v>180229</v>
      </c>
      <c r="Q43">
        <v>0</v>
      </c>
      <c r="R43">
        <v>0</v>
      </c>
      <c r="S43">
        <v>0</v>
      </c>
      <c r="T43">
        <v>1587</v>
      </c>
      <c r="U43">
        <v>45</v>
      </c>
      <c r="V43">
        <v>0</v>
      </c>
      <c r="W43">
        <v>0</v>
      </c>
      <c r="X43">
        <v>1587</v>
      </c>
      <c r="Y43">
        <v>10051945</v>
      </c>
      <c r="Z43">
        <v>178687</v>
      </c>
      <c r="AA43">
        <v>0</v>
      </c>
      <c r="AB43">
        <v>0</v>
      </c>
      <c r="AC43">
        <v>1542</v>
      </c>
      <c r="AD43">
        <v>0</v>
      </c>
      <c r="AE43">
        <v>0</v>
      </c>
      <c r="AF43">
        <v>0</v>
      </c>
      <c r="AG43">
        <v>45</v>
      </c>
      <c r="AH43">
        <v>0</v>
      </c>
      <c r="AI43">
        <v>0</v>
      </c>
      <c r="AJ43">
        <v>0</v>
      </c>
      <c r="AK43" s="1">
        <f t="shared" si="0"/>
        <v>1587</v>
      </c>
    </row>
    <row r="44" spans="1:37" x14ac:dyDescent="0.25">
      <c r="A44">
        <v>202607</v>
      </c>
      <c r="B44" t="s">
        <v>83</v>
      </c>
      <c r="C44">
        <v>20</v>
      </c>
      <c r="D44" t="s">
        <v>74</v>
      </c>
      <c r="E44" s="1" t="str">
        <f>VLOOKUP(D44,[1]Sheet1!$B$2:$C$735,2,0)</f>
        <v>ALIPAY</v>
      </c>
      <c r="F44" t="s">
        <v>75</v>
      </c>
      <c r="G44" t="s">
        <v>76</v>
      </c>
      <c r="H44">
        <v>121378308</v>
      </c>
      <c r="I44">
        <v>13832</v>
      </c>
      <c r="J44">
        <v>121364476</v>
      </c>
      <c r="K44">
        <v>0</v>
      </c>
      <c r="L44">
        <v>113177948</v>
      </c>
      <c r="M44">
        <v>121356891</v>
      </c>
      <c r="N44">
        <v>0</v>
      </c>
      <c r="O44">
        <v>0</v>
      </c>
      <c r="P44">
        <v>8187798</v>
      </c>
      <c r="Q44">
        <v>0</v>
      </c>
      <c r="R44">
        <v>0</v>
      </c>
      <c r="S44">
        <v>0</v>
      </c>
      <c r="T44">
        <v>20147</v>
      </c>
      <c r="U44">
        <v>0</v>
      </c>
      <c r="V44">
        <v>0</v>
      </c>
      <c r="W44">
        <v>0</v>
      </c>
      <c r="X44">
        <v>20147</v>
      </c>
      <c r="Y44">
        <v>113177948</v>
      </c>
      <c r="Z44">
        <v>8179228</v>
      </c>
      <c r="AA44">
        <v>0</v>
      </c>
      <c r="AB44">
        <v>0</v>
      </c>
      <c r="AC44">
        <v>18948</v>
      </c>
      <c r="AD44">
        <v>0</v>
      </c>
      <c r="AE44">
        <v>0</v>
      </c>
      <c r="AF44">
        <v>0</v>
      </c>
      <c r="AG44">
        <v>2184</v>
      </c>
      <c r="AH44">
        <v>0</v>
      </c>
      <c r="AI44">
        <v>0</v>
      </c>
      <c r="AJ44">
        <v>0</v>
      </c>
      <c r="AK44" s="1">
        <f t="shared" si="0"/>
        <v>21132</v>
      </c>
    </row>
    <row r="45" spans="1:37" ht="28" x14ac:dyDescent="0.25">
      <c r="A45">
        <v>202607</v>
      </c>
      <c r="B45" t="s">
        <v>83</v>
      </c>
      <c r="C45">
        <v>21</v>
      </c>
      <c r="D45" t="s">
        <v>77</v>
      </c>
      <c r="E45" s="1" t="str">
        <f>VLOOKUP(D45,[1]Sheet1!$B$2:$C$735,2,0)</f>
        <v>QQ BROWSER</v>
      </c>
      <c r="F45" t="s">
        <v>47</v>
      </c>
      <c r="G45" t="s">
        <v>78</v>
      </c>
      <c r="H45">
        <v>4838982</v>
      </c>
      <c r="I45">
        <v>0</v>
      </c>
      <c r="J45">
        <v>4838982</v>
      </c>
      <c r="K45">
        <v>0</v>
      </c>
      <c r="L45">
        <v>3516492</v>
      </c>
      <c r="M45">
        <v>4838701</v>
      </c>
      <c r="N45">
        <v>0</v>
      </c>
      <c r="O45">
        <v>0</v>
      </c>
      <c r="P45">
        <v>1322262</v>
      </c>
      <c r="Q45">
        <v>0</v>
      </c>
      <c r="R45">
        <v>0</v>
      </c>
      <c r="S45">
        <v>0</v>
      </c>
      <c r="T45">
        <v>277</v>
      </c>
      <c r="U45">
        <v>224</v>
      </c>
      <c r="V45">
        <v>4</v>
      </c>
      <c r="W45">
        <v>4</v>
      </c>
      <c r="X45">
        <v>281</v>
      </c>
      <c r="Y45">
        <v>3516492</v>
      </c>
      <c r="Z45">
        <v>1322209</v>
      </c>
      <c r="AA45">
        <v>0</v>
      </c>
      <c r="AB45">
        <v>0</v>
      </c>
      <c r="AC45">
        <v>53</v>
      </c>
      <c r="AD45">
        <v>0</v>
      </c>
      <c r="AE45">
        <v>0</v>
      </c>
      <c r="AF45">
        <v>0</v>
      </c>
      <c r="AG45">
        <v>224</v>
      </c>
      <c r="AH45">
        <v>0</v>
      </c>
      <c r="AI45">
        <v>4</v>
      </c>
      <c r="AJ45">
        <v>0</v>
      </c>
      <c r="AK45" s="1">
        <f t="shared" si="0"/>
        <v>281</v>
      </c>
    </row>
    <row r="46" spans="1:37" ht="28" x14ac:dyDescent="0.25">
      <c r="A46">
        <v>202607</v>
      </c>
      <c r="B46" t="s">
        <v>83</v>
      </c>
      <c r="C46">
        <v>22</v>
      </c>
      <c r="D46" t="s">
        <v>79</v>
      </c>
      <c r="E46" s="1" t="str">
        <f>VLOOKUP(D46,[1]Sheet1!$B$2:$C$735,2,0)</f>
        <v>TENCENT NEWS</v>
      </c>
      <c r="F46" t="s">
        <v>80</v>
      </c>
      <c r="G46" t="s">
        <v>81</v>
      </c>
      <c r="H46">
        <v>22126443</v>
      </c>
      <c r="I46">
        <v>0</v>
      </c>
      <c r="J46">
        <v>22126443</v>
      </c>
      <c r="K46">
        <v>0</v>
      </c>
      <c r="L46">
        <v>15841110</v>
      </c>
      <c r="M46">
        <v>22125356</v>
      </c>
      <c r="N46">
        <v>0</v>
      </c>
      <c r="O46">
        <v>0</v>
      </c>
      <c r="P46">
        <v>6285222</v>
      </c>
      <c r="Q46">
        <v>0</v>
      </c>
      <c r="R46">
        <v>0</v>
      </c>
      <c r="S46">
        <v>0</v>
      </c>
      <c r="T46">
        <v>1060</v>
      </c>
      <c r="U46">
        <v>87</v>
      </c>
      <c r="V46">
        <v>27</v>
      </c>
      <c r="W46">
        <v>24</v>
      </c>
      <c r="X46">
        <v>1087</v>
      </c>
      <c r="Y46">
        <v>15841110</v>
      </c>
      <c r="Z46">
        <v>6284246</v>
      </c>
      <c r="AA46">
        <v>0</v>
      </c>
      <c r="AB46">
        <v>0</v>
      </c>
      <c r="AC46">
        <v>976</v>
      </c>
      <c r="AD46">
        <v>0</v>
      </c>
      <c r="AE46">
        <v>0</v>
      </c>
      <c r="AF46">
        <v>0</v>
      </c>
      <c r="AG46">
        <v>84</v>
      </c>
      <c r="AH46">
        <v>3</v>
      </c>
      <c r="AI46">
        <v>24</v>
      </c>
      <c r="AJ46">
        <v>0</v>
      </c>
      <c r="AK46" s="1">
        <f t="shared" si="0"/>
        <v>1087</v>
      </c>
    </row>
    <row r="47" spans="1:37" x14ac:dyDescent="0.25">
      <c r="A47">
        <v>202607</v>
      </c>
      <c r="B47" t="s">
        <v>83</v>
      </c>
      <c r="C47">
        <v>23</v>
      </c>
      <c r="D47" t="s">
        <v>82</v>
      </c>
      <c r="E47" s="1" t="str">
        <f>VLOOKUP(D47,[1]Sheet1!$B$2:$C$735,2,0)</f>
        <v>BILIBILI</v>
      </c>
      <c r="F47" t="s">
        <v>35</v>
      </c>
      <c r="G47" t="s">
        <v>36</v>
      </c>
      <c r="H47">
        <v>323862297</v>
      </c>
      <c r="I47">
        <v>1588671</v>
      </c>
      <c r="J47">
        <v>322273626</v>
      </c>
      <c r="K47">
        <v>0</v>
      </c>
      <c r="L47">
        <v>322863431</v>
      </c>
      <c r="M47">
        <v>323154066</v>
      </c>
      <c r="N47">
        <v>0</v>
      </c>
      <c r="O47">
        <v>0</v>
      </c>
      <c r="P47">
        <v>117402</v>
      </c>
      <c r="Q47">
        <v>0</v>
      </c>
      <c r="R47">
        <v>0</v>
      </c>
      <c r="S47">
        <v>0</v>
      </c>
      <c r="T47">
        <v>872</v>
      </c>
      <c r="U47">
        <v>120</v>
      </c>
      <c r="V47">
        <v>32</v>
      </c>
      <c r="W47">
        <v>0</v>
      </c>
      <c r="X47">
        <v>1024</v>
      </c>
      <c r="Y47">
        <v>322863431</v>
      </c>
      <c r="Z47">
        <v>894482</v>
      </c>
      <c r="AA47">
        <v>0</v>
      </c>
      <c r="AB47">
        <v>0</v>
      </c>
      <c r="AC47">
        <v>103391</v>
      </c>
      <c r="AD47">
        <v>0</v>
      </c>
      <c r="AE47">
        <v>0</v>
      </c>
      <c r="AF47">
        <v>0</v>
      </c>
      <c r="AG47">
        <v>841</v>
      </c>
      <c r="AH47">
        <v>120</v>
      </c>
      <c r="AI47">
        <v>32</v>
      </c>
      <c r="AJ47">
        <v>0</v>
      </c>
      <c r="AK47" s="1">
        <f t="shared" si="0"/>
        <v>104384</v>
      </c>
    </row>
    <row r="48" spans="1:37" ht="28" x14ac:dyDescent="0.25">
      <c r="A48">
        <v>202607</v>
      </c>
      <c r="B48" t="s">
        <v>83</v>
      </c>
      <c r="D48" t="s">
        <v>84</v>
      </c>
      <c r="E48" s="1" t="str">
        <f>VLOOKUP(D48,[1]Sheet1!$B$2:$C$735,2,0)</f>
        <v>字节跳动系</v>
      </c>
      <c r="F48" t="s">
        <v>45</v>
      </c>
      <c r="G48" t="s">
        <v>45</v>
      </c>
      <c r="H48">
        <v>345555449</v>
      </c>
      <c r="I48">
        <v>0</v>
      </c>
      <c r="J48">
        <v>345555449</v>
      </c>
      <c r="K48">
        <v>0</v>
      </c>
      <c r="L48">
        <v>345499868</v>
      </c>
      <c r="M48">
        <v>345555449</v>
      </c>
      <c r="N48">
        <v>0</v>
      </c>
      <c r="O48">
        <v>0</v>
      </c>
      <c r="P48">
        <v>55581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345499868</v>
      </c>
      <c r="Z48">
        <v>55581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s="1">
        <f t="shared" si="0"/>
        <v>0</v>
      </c>
    </row>
    <row r="49" spans="1:37" ht="28" x14ac:dyDescent="0.25">
      <c r="A49">
        <v>202607</v>
      </c>
      <c r="B49" t="s">
        <v>83</v>
      </c>
      <c r="D49" t="s">
        <v>85</v>
      </c>
      <c r="E49" s="1" t="str">
        <f>VLOOKUP(D49,[1]Sheet1!$B$2:$C$735,2,0)</f>
        <v>铁路12306</v>
      </c>
      <c r="F49" t="s">
        <v>86</v>
      </c>
      <c r="G49" t="s">
        <v>87</v>
      </c>
      <c r="H49">
        <v>44639604</v>
      </c>
      <c r="I49">
        <v>0</v>
      </c>
      <c r="J49">
        <v>44639604</v>
      </c>
      <c r="K49">
        <v>0</v>
      </c>
      <c r="L49">
        <v>44545868</v>
      </c>
      <c r="M49">
        <v>44639604</v>
      </c>
      <c r="N49">
        <v>0</v>
      </c>
      <c r="O49">
        <v>0</v>
      </c>
      <c r="P49">
        <v>93736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44545868</v>
      </c>
      <c r="Z49">
        <v>93736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s="1">
        <f t="shared" si="0"/>
        <v>0</v>
      </c>
    </row>
    <row r="50" spans="1:37" x14ac:dyDescent="0.25">
      <c r="A50">
        <v>202607</v>
      </c>
      <c r="B50" t="s">
        <v>83</v>
      </c>
      <c r="D50" t="s">
        <v>88</v>
      </c>
      <c r="E50" s="1" t="str">
        <f>VLOOKUP(D50,[1]Sheet1!$B$2:$C$735,2,0)</f>
        <v>KUAISHOU</v>
      </c>
      <c r="F50" t="s">
        <v>35</v>
      </c>
      <c r="G50" t="s">
        <v>38</v>
      </c>
      <c r="H50">
        <v>404112478</v>
      </c>
      <c r="I50">
        <v>613</v>
      </c>
      <c r="J50">
        <v>404111865</v>
      </c>
      <c r="K50">
        <v>0</v>
      </c>
      <c r="L50">
        <v>380321630</v>
      </c>
      <c r="M50">
        <v>404111397</v>
      </c>
      <c r="N50">
        <v>0</v>
      </c>
      <c r="O50">
        <v>0</v>
      </c>
      <c r="P50">
        <v>23790498</v>
      </c>
      <c r="Q50">
        <v>0</v>
      </c>
      <c r="R50">
        <v>0</v>
      </c>
      <c r="S50">
        <v>0</v>
      </c>
      <c r="T50">
        <v>778</v>
      </c>
      <c r="U50">
        <v>0</v>
      </c>
      <c r="V50">
        <v>0</v>
      </c>
      <c r="W50">
        <v>40</v>
      </c>
      <c r="X50">
        <v>818</v>
      </c>
      <c r="Y50">
        <v>380321630</v>
      </c>
      <c r="Z50">
        <v>23789954</v>
      </c>
      <c r="AA50">
        <v>0</v>
      </c>
      <c r="AB50">
        <v>0</v>
      </c>
      <c r="AC50">
        <v>849</v>
      </c>
      <c r="AD50">
        <v>0</v>
      </c>
      <c r="AE50">
        <v>0</v>
      </c>
      <c r="AF50">
        <v>0</v>
      </c>
      <c r="AG50">
        <v>5</v>
      </c>
      <c r="AH50">
        <v>0</v>
      </c>
      <c r="AI50">
        <v>0</v>
      </c>
      <c r="AJ50">
        <v>40</v>
      </c>
      <c r="AK50" s="1">
        <f t="shared" si="0"/>
        <v>894</v>
      </c>
    </row>
    <row r="51" spans="1:37" x14ac:dyDescent="0.25">
      <c r="A51">
        <v>202607</v>
      </c>
      <c r="B51" t="s">
        <v>83</v>
      </c>
      <c r="D51" t="s">
        <v>89</v>
      </c>
      <c r="E51" s="1" t="str">
        <f>VLOOKUP(D51,[1]Sheet1!$B$2:$C$735,2,0)</f>
        <v>Amap</v>
      </c>
      <c r="F51" t="s">
        <v>59</v>
      </c>
      <c r="G51" t="s">
        <v>60</v>
      </c>
      <c r="H51">
        <v>89015419</v>
      </c>
      <c r="I51">
        <v>44</v>
      </c>
      <c r="J51">
        <v>89015375</v>
      </c>
      <c r="K51">
        <v>0</v>
      </c>
      <c r="L51">
        <v>88550333</v>
      </c>
      <c r="M51">
        <v>88609492</v>
      </c>
      <c r="N51">
        <v>0</v>
      </c>
      <c r="O51">
        <v>0</v>
      </c>
      <c r="P51">
        <v>59711</v>
      </c>
      <c r="Q51">
        <v>0</v>
      </c>
      <c r="R51">
        <v>0</v>
      </c>
      <c r="S51">
        <v>0</v>
      </c>
      <c r="T51">
        <v>405883</v>
      </c>
      <c r="U51">
        <v>405331</v>
      </c>
      <c r="V51">
        <v>44</v>
      </c>
      <c r="W51">
        <v>0</v>
      </c>
      <c r="X51">
        <v>405927</v>
      </c>
      <c r="Y51">
        <v>88550333</v>
      </c>
      <c r="Z51">
        <v>59159</v>
      </c>
      <c r="AA51">
        <v>0</v>
      </c>
      <c r="AB51">
        <v>0</v>
      </c>
      <c r="AC51">
        <v>552</v>
      </c>
      <c r="AD51">
        <v>0</v>
      </c>
      <c r="AE51">
        <v>0</v>
      </c>
      <c r="AF51">
        <v>0</v>
      </c>
      <c r="AG51">
        <v>405331</v>
      </c>
      <c r="AH51">
        <v>0</v>
      </c>
      <c r="AI51">
        <v>44</v>
      </c>
      <c r="AJ51">
        <v>0</v>
      </c>
      <c r="AK51" s="1">
        <f t="shared" si="0"/>
        <v>405927</v>
      </c>
    </row>
    <row r="52" spans="1:37" x14ac:dyDescent="0.25">
      <c r="A52">
        <v>202607</v>
      </c>
      <c r="B52" t="s">
        <v>83</v>
      </c>
      <c r="D52" t="s">
        <v>90</v>
      </c>
      <c r="E52" s="1" t="str">
        <f>VLOOKUP(D52,[1]Sheet1!$B$2:$C$735,2,0)</f>
        <v>懂车帝</v>
      </c>
      <c r="F52" t="s">
        <v>91</v>
      </c>
      <c r="G52" t="s">
        <v>92</v>
      </c>
      <c r="H52">
        <v>5583128</v>
      </c>
      <c r="I52">
        <v>0</v>
      </c>
      <c r="J52">
        <v>5583128</v>
      </c>
      <c r="K52">
        <v>0</v>
      </c>
      <c r="L52">
        <v>5582955</v>
      </c>
      <c r="M52">
        <v>5583098</v>
      </c>
      <c r="N52">
        <v>0</v>
      </c>
      <c r="O52">
        <v>0</v>
      </c>
      <c r="P52">
        <v>173</v>
      </c>
      <c r="Q52">
        <v>0</v>
      </c>
      <c r="R52">
        <v>0</v>
      </c>
      <c r="S52">
        <v>0</v>
      </c>
      <c r="T52">
        <v>30</v>
      </c>
      <c r="U52">
        <v>0</v>
      </c>
      <c r="V52">
        <v>0</v>
      </c>
      <c r="W52">
        <v>0</v>
      </c>
      <c r="X52">
        <v>30</v>
      </c>
      <c r="Y52">
        <v>5582955</v>
      </c>
      <c r="Z52">
        <v>143</v>
      </c>
      <c r="AA52">
        <v>0</v>
      </c>
      <c r="AB52">
        <v>0</v>
      </c>
      <c r="AC52">
        <v>30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1">
        <f t="shared" si="0"/>
        <v>30</v>
      </c>
    </row>
    <row r="53" spans="1:37" x14ac:dyDescent="0.25">
      <c r="A53">
        <v>202607</v>
      </c>
      <c r="B53" t="s">
        <v>83</v>
      </c>
      <c r="D53" t="s">
        <v>93</v>
      </c>
      <c r="E53" s="1" t="str">
        <f>VLOOKUP(D53,[1]Sheet1!$B$2:$C$735,2,0)</f>
        <v>腾讯体育</v>
      </c>
      <c r="F53" t="s">
        <v>80</v>
      </c>
      <c r="G53" t="s">
        <v>94</v>
      </c>
      <c r="H53">
        <v>8162079</v>
      </c>
      <c r="I53">
        <v>0</v>
      </c>
      <c r="J53">
        <v>8162079</v>
      </c>
      <c r="K53">
        <v>0</v>
      </c>
      <c r="L53">
        <v>7947967</v>
      </c>
      <c r="M53">
        <v>8161966</v>
      </c>
      <c r="N53">
        <v>0</v>
      </c>
      <c r="O53">
        <v>0</v>
      </c>
      <c r="P53">
        <v>214109</v>
      </c>
      <c r="Q53">
        <v>0</v>
      </c>
      <c r="R53">
        <v>0</v>
      </c>
      <c r="S53">
        <v>0</v>
      </c>
      <c r="T53">
        <v>112</v>
      </c>
      <c r="U53">
        <v>3</v>
      </c>
      <c r="V53">
        <v>1</v>
      </c>
      <c r="W53">
        <v>0</v>
      </c>
      <c r="X53">
        <v>113</v>
      </c>
      <c r="Y53">
        <v>7947967</v>
      </c>
      <c r="Z53">
        <v>213999</v>
      </c>
      <c r="AA53">
        <v>0</v>
      </c>
      <c r="AB53">
        <v>0</v>
      </c>
      <c r="AC53">
        <v>110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0</v>
      </c>
      <c r="AJ53">
        <v>0</v>
      </c>
      <c r="AK53" s="1">
        <f t="shared" si="0"/>
        <v>113</v>
      </c>
    </row>
    <row r="54" spans="1:37" x14ac:dyDescent="0.25">
      <c r="A54">
        <v>202607</v>
      </c>
      <c r="B54" t="s">
        <v>83</v>
      </c>
      <c r="E54" s="1" t="s">
        <v>45</v>
      </c>
      <c r="H54">
        <v>57717970</v>
      </c>
      <c r="I54">
        <v>18600</v>
      </c>
      <c r="J54">
        <v>56870296</v>
      </c>
      <c r="K54">
        <v>829074</v>
      </c>
      <c r="L54">
        <v>55948432</v>
      </c>
      <c r="M54">
        <v>57220706</v>
      </c>
      <c r="N54">
        <v>0</v>
      </c>
      <c r="O54">
        <v>0</v>
      </c>
      <c r="P54">
        <v>2125801</v>
      </c>
      <c r="Q54">
        <v>0</v>
      </c>
      <c r="R54">
        <v>0</v>
      </c>
      <c r="S54">
        <v>0</v>
      </c>
      <c r="T54">
        <v>1287091</v>
      </c>
      <c r="U54">
        <v>1255659</v>
      </c>
      <c r="V54">
        <v>829164</v>
      </c>
      <c r="W54">
        <v>0</v>
      </c>
      <c r="X54">
        <v>1287181</v>
      </c>
      <c r="Y54">
        <v>55948432</v>
      </c>
      <c r="Z54">
        <v>1290632</v>
      </c>
      <c r="AA54">
        <v>0</v>
      </c>
      <c r="AB54">
        <v>0</v>
      </c>
      <c r="AC54">
        <v>31653</v>
      </c>
      <c r="AD54">
        <v>0</v>
      </c>
      <c r="AE54">
        <v>0</v>
      </c>
      <c r="AF54">
        <v>0</v>
      </c>
      <c r="AG54">
        <v>447163</v>
      </c>
      <c r="AH54">
        <v>0</v>
      </c>
      <c r="AI54">
        <v>90</v>
      </c>
      <c r="AJ54">
        <v>0</v>
      </c>
      <c r="AK54" s="1">
        <f t="shared" si="0"/>
        <v>478906</v>
      </c>
    </row>
    <row r="55" spans="1:37" ht="42" x14ac:dyDescent="0.25">
      <c r="A55">
        <v>202607</v>
      </c>
      <c r="B55" t="s">
        <v>83</v>
      </c>
      <c r="D55" t="s">
        <v>95</v>
      </c>
      <c r="E55" s="1" t="str">
        <f>VLOOKUP(D55,[1]Sheet1!$B$2:$C$735,2,0)</f>
        <v>YOUDAO DICTIONARY</v>
      </c>
      <c r="F55" t="s">
        <v>96</v>
      </c>
      <c r="G55" t="s">
        <v>97</v>
      </c>
      <c r="H55">
        <v>18617249</v>
      </c>
      <c r="I55">
        <v>8317</v>
      </c>
      <c r="J55">
        <v>18598507</v>
      </c>
      <c r="K55">
        <v>10425</v>
      </c>
      <c r="L55">
        <v>18429848</v>
      </c>
      <c r="M55">
        <v>18607742</v>
      </c>
      <c r="N55">
        <v>0</v>
      </c>
      <c r="O55">
        <v>0</v>
      </c>
      <c r="P55">
        <v>196629</v>
      </c>
      <c r="Q55">
        <v>0</v>
      </c>
      <c r="R55">
        <v>0</v>
      </c>
      <c r="S55">
        <v>0</v>
      </c>
      <c r="T55">
        <v>12694</v>
      </c>
      <c r="U55">
        <v>0</v>
      </c>
      <c r="V55">
        <v>0</v>
      </c>
      <c r="W55">
        <v>0</v>
      </c>
      <c r="X55">
        <v>12694</v>
      </c>
      <c r="Y55">
        <v>18429848</v>
      </c>
      <c r="Z55">
        <v>184999</v>
      </c>
      <c r="AA55">
        <v>0</v>
      </c>
      <c r="AB55">
        <v>0</v>
      </c>
      <c r="AC55">
        <v>2356</v>
      </c>
      <c r="AD55">
        <v>0</v>
      </c>
      <c r="AE55">
        <v>0</v>
      </c>
      <c r="AF55">
        <v>0</v>
      </c>
      <c r="AG55">
        <v>46</v>
      </c>
      <c r="AH55">
        <v>0</v>
      </c>
      <c r="AI55">
        <v>0</v>
      </c>
      <c r="AJ55">
        <v>0</v>
      </c>
      <c r="AK55" s="1">
        <f t="shared" si="0"/>
        <v>2402</v>
      </c>
    </row>
    <row r="56" spans="1:37" x14ac:dyDescent="0.25">
      <c r="A56">
        <v>202607</v>
      </c>
      <c r="B56" t="s">
        <v>83</v>
      </c>
      <c r="D56" t="s">
        <v>98</v>
      </c>
      <c r="E56" s="1" t="str">
        <f>VLOOKUP(D56,[1]Sheet1!$B$2:$C$735,2,0)</f>
        <v>QQ MUSIC</v>
      </c>
      <c r="F56" t="s">
        <v>50</v>
      </c>
      <c r="G56" t="s">
        <v>51</v>
      </c>
      <c r="H56">
        <v>56079224</v>
      </c>
      <c r="I56">
        <v>1</v>
      </c>
      <c r="J56">
        <v>56079223</v>
      </c>
      <c r="K56">
        <v>0</v>
      </c>
      <c r="L56">
        <v>47151552</v>
      </c>
      <c r="M56">
        <v>56076368</v>
      </c>
      <c r="N56">
        <v>0</v>
      </c>
      <c r="O56">
        <v>0</v>
      </c>
      <c r="P56">
        <v>8926686</v>
      </c>
      <c r="Q56">
        <v>0</v>
      </c>
      <c r="R56">
        <v>0</v>
      </c>
      <c r="S56">
        <v>0</v>
      </c>
      <c r="T56">
        <v>2738</v>
      </c>
      <c r="U56">
        <v>894</v>
      </c>
      <c r="V56">
        <v>118</v>
      </c>
      <c r="W56">
        <v>91</v>
      </c>
      <c r="X56">
        <v>2856</v>
      </c>
      <c r="Y56">
        <v>47151552</v>
      </c>
      <c r="Z56">
        <v>8924816</v>
      </c>
      <c r="AA56">
        <v>0</v>
      </c>
      <c r="AB56">
        <v>0</v>
      </c>
      <c r="AC56">
        <v>1870</v>
      </c>
      <c r="AD56">
        <v>0</v>
      </c>
      <c r="AE56">
        <v>0</v>
      </c>
      <c r="AF56">
        <v>0</v>
      </c>
      <c r="AG56">
        <v>868</v>
      </c>
      <c r="AH56">
        <v>26</v>
      </c>
      <c r="AI56">
        <v>92</v>
      </c>
      <c r="AJ56">
        <v>0</v>
      </c>
      <c r="AK56" s="1">
        <f t="shared" si="0"/>
        <v>2856</v>
      </c>
    </row>
    <row r="57" spans="1:37" x14ac:dyDescent="0.25">
      <c r="A57">
        <v>202607</v>
      </c>
      <c r="B57" t="s">
        <v>83</v>
      </c>
      <c r="D57" t="s">
        <v>99</v>
      </c>
      <c r="E57" s="1" t="str">
        <f>VLOOKUP(D57,[1]Sheet1!$B$2:$C$735,2,0)</f>
        <v>KUGOU</v>
      </c>
      <c r="F57" t="s">
        <v>50</v>
      </c>
      <c r="G57" t="s">
        <v>51</v>
      </c>
      <c r="H57">
        <v>4197649</v>
      </c>
      <c r="I57">
        <v>0</v>
      </c>
      <c r="J57">
        <v>4197649</v>
      </c>
      <c r="K57">
        <v>0</v>
      </c>
      <c r="L57">
        <v>4183373</v>
      </c>
      <c r="M57">
        <v>4197593</v>
      </c>
      <c r="N57">
        <v>0</v>
      </c>
      <c r="O57">
        <v>0</v>
      </c>
      <c r="P57">
        <v>14275</v>
      </c>
      <c r="Q57">
        <v>0</v>
      </c>
      <c r="R57">
        <v>0</v>
      </c>
      <c r="S57">
        <v>0</v>
      </c>
      <c r="T57">
        <v>55</v>
      </c>
      <c r="U57">
        <v>1</v>
      </c>
      <c r="V57">
        <v>1</v>
      </c>
      <c r="W57">
        <v>0</v>
      </c>
      <c r="X57">
        <v>56</v>
      </c>
      <c r="Y57">
        <v>4183373</v>
      </c>
      <c r="Z57">
        <v>14220</v>
      </c>
      <c r="AA57">
        <v>0</v>
      </c>
      <c r="AB57">
        <v>0</v>
      </c>
      <c r="AC57">
        <v>55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 s="1">
        <f t="shared" si="0"/>
        <v>56</v>
      </c>
    </row>
    <row r="58" spans="1:37" x14ac:dyDescent="0.25">
      <c r="A58">
        <v>202607</v>
      </c>
      <c r="B58" t="s">
        <v>83</v>
      </c>
      <c r="D58" t="s">
        <v>100</v>
      </c>
      <c r="E58" s="1" t="str">
        <f>VLOOKUP(D58,[1]Sheet1!$B$2:$C$735,2,0)</f>
        <v>广点通</v>
      </c>
      <c r="F58" t="s">
        <v>101</v>
      </c>
      <c r="G58" t="s">
        <v>102</v>
      </c>
      <c r="H58">
        <v>23380103</v>
      </c>
      <c r="I58">
        <v>0</v>
      </c>
      <c r="J58">
        <v>23380103</v>
      </c>
      <c r="K58">
        <v>0</v>
      </c>
      <c r="L58">
        <v>16607367</v>
      </c>
      <c r="M58">
        <v>23380103</v>
      </c>
      <c r="N58">
        <v>0</v>
      </c>
      <c r="O58">
        <v>0</v>
      </c>
      <c r="P58">
        <v>6772736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16607367</v>
      </c>
      <c r="Z58">
        <v>6772736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s="1">
        <f t="shared" si="0"/>
        <v>0</v>
      </c>
    </row>
    <row r="59" spans="1:37" x14ac:dyDescent="0.25">
      <c r="A59">
        <v>202607</v>
      </c>
      <c r="B59" t="s">
        <v>83</v>
      </c>
      <c r="D59" t="s">
        <v>103</v>
      </c>
      <c r="E59" s="1" t="str">
        <f>VLOOKUP(D59,[1]Sheet1!$B$2:$C$735,2,0)</f>
        <v>飞猪</v>
      </c>
      <c r="F59" t="s">
        <v>86</v>
      </c>
      <c r="G59" t="s">
        <v>104</v>
      </c>
      <c r="H59">
        <v>17606500</v>
      </c>
      <c r="I59">
        <v>831</v>
      </c>
      <c r="J59">
        <v>17605669</v>
      </c>
      <c r="K59">
        <v>0</v>
      </c>
      <c r="L59">
        <v>17585791</v>
      </c>
      <c r="M59">
        <v>17603610</v>
      </c>
      <c r="N59">
        <v>0</v>
      </c>
      <c r="O59">
        <v>0</v>
      </c>
      <c r="P59">
        <v>18105</v>
      </c>
      <c r="Q59">
        <v>0</v>
      </c>
      <c r="R59">
        <v>0</v>
      </c>
      <c r="S59">
        <v>0</v>
      </c>
      <c r="T59">
        <v>2794</v>
      </c>
      <c r="U59">
        <v>1869</v>
      </c>
      <c r="V59">
        <v>0</v>
      </c>
      <c r="W59">
        <v>0</v>
      </c>
      <c r="X59">
        <v>2794</v>
      </c>
      <c r="Y59">
        <v>17585791</v>
      </c>
      <c r="Z59">
        <v>17820</v>
      </c>
      <c r="AA59">
        <v>0</v>
      </c>
      <c r="AB59">
        <v>0</v>
      </c>
      <c r="AC59">
        <v>929</v>
      </c>
      <c r="AD59">
        <v>0</v>
      </c>
      <c r="AE59">
        <v>0</v>
      </c>
      <c r="AF59">
        <v>0</v>
      </c>
      <c r="AG59">
        <v>1960</v>
      </c>
      <c r="AH59">
        <v>0</v>
      </c>
      <c r="AI59">
        <v>0</v>
      </c>
      <c r="AJ59">
        <v>0</v>
      </c>
      <c r="AK59" s="1">
        <f t="shared" si="0"/>
        <v>2889</v>
      </c>
    </row>
    <row r="60" spans="1:37" x14ac:dyDescent="0.25">
      <c r="A60">
        <v>202607</v>
      </c>
      <c r="B60" t="s">
        <v>83</v>
      </c>
      <c r="D60" t="s">
        <v>105</v>
      </c>
      <c r="E60" s="1" t="str">
        <f>VLOOKUP(D60,[1]Sheet1!$B$2:$C$735,2,0)</f>
        <v>MEIYAN</v>
      </c>
      <c r="F60" t="s">
        <v>54</v>
      </c>
      <c r="G60" t="s">
        <v>54</v>
      </c>
      <c r="H60">
        <v>14450575</v>
      </c>
      <c r="I60">
        <v>737</v>
      </c>
      <c r="J60">
        <v>14449838</v>
      </c>
      <c r="K60">
        <v>0</v>
      </c>
      <c r="L60">
        <v>13043824</v>
      </c>
      <c r="M60">
        <v>14444788</v>
      </c>
      <c r="N60">
        <v>0</v>
      </c>
      <c r="O60">
        <v>0</v>
      </c>
      <c r="P60">
        <v>1405925</v>
      </c>
      <c r="Q60">
        <v>0</v>
      </c>
      <c r="R60">
        <v>0</v>
      </c>
      <c r="S60">
        <v>0</v>
      </c>
      <c r="T60">
        <v>5569</v>
      </c>
      <c r="U60">
        <v>271</v>
      </c>
      <c r="V60">
        <v>23</v>
      </c>
      <c r="W60">
        <v>13</v>
      </c>
      <c r="X60">
        <v>5592</v>
      </c>
      <c r="Y60">
        <v>13043824</v>
      </c>
      <c r="Z60">
        <v>1401012</v>
      </c>
      <c r="AA60">
        <v>0</v>
      </c>
      <c r="AB60">
        <v>0</v>
      </c>
      <c r="AC60">
        <v>5192</v>
      </c>
      <c r="AD60">
        <v>0</v>
      </c>
      <c r="AE60">
        <v>0</v>
      </c>
      <c r="AF60">
        <v>0</v>
      </c>
      <c r="AG60">
        <v>524</v>
      </c>
      <c r="AH60">
        <v>10</v>
      </c>
      <c r="AI60">
        <v>13</v>
      </c>
      <c r="AJ60">
        <v>0</v>
      </c>
      <c r="AK60" s="1">
        <f t="shared" si="0"/>
        <v>5739</v>
      </c>
    </row>
    <row r="61" spans="1:37" x14ac:dyDescent="0.25">
      <c r="A61">
        <v>202607</v>
      </c>
      <c r="B61" t="s">
        <v>83</v>
      </c>
      <c r="D61" t="s">
        <v>106</v>
      </c>
      <c r="E61" s="1" t="str">
        <f>VLOOKUP(D61,[1]Sheet1!$B$2:$C$735,2,0)</f>
        <v>航旅纵横</v>
      </c>
      <c r="F61" t="s">
        <v>86</v>
      </c>
      <c r="G61" t="s">
        <v>87</v>
      </c>
      <c r="H61">
        <v>17399248</v>
      </c>
      <c r="I61">
        <v>0</v>
      </c>
      <c r="J61">
        <v>17399248</v>
      </c>
      <c r="K61">
        <v>0</v>
      </c>
      <c r="L61">
        <v>15526933</v>
      </c>
      <c r="M61">
        <v>17399083</v>
      </c>
      <c r="N61">
        <v>0</v>
      </c>
      <c r="O61">
        <v>0</v>
      </c>
      <c r="P61">
        <v>1872315</v>
      </c>
      <c r="Q61">
        <v>0</v>
      </c>
      <c r="R61">
        <v>0</v>
      </c>
      <c r="S61">
        <v>0</v>
      </c>
      <c r="T61">
        <v>165</v>
      </c>
      <c r="U61">
        <v>0</v>
      </c>
      <c r="V61">
        <v>0</v>
      </c>
      <c r="W61">
        <v>0</v>
      </c>
      <c r="X61">
        <v>165</v>
      </c>
      <c r="Y61">
        <v>15526933</v>
      </c>
      <c r="Z61">
        <v>1872150</v>
      </c>
      <c r="AA61">
        <v>0</v>
      </c>
      <c r="AB61">
        <v>0</v>
      </c>
      <c r="AC61">
        <v>165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s="1">
        <f t="shared" si="0"/>
        <v>165</v>
      </c>
    </row>
    <row r="62" spans="1:37" x14ac:dyDescent="0.25">
      <c r="A62">
        <v>202607</v>
      </c>
      <c r="B62" t="s">
        <v>83</v>
      </c>
      <c r="D62" t="s">
        <v>107</v>
      </c>
      <c r="E62" s="1" t="str">
        <f>VLOOKUP(D62,[1]Sheet1!$B$2:$C$735,2,0)</f>
        <v>百度网盘</v>
      </c>
      <c r="F62" t="s">
        <v>47</v>
      </c>
      <c r="G62" t="s">
        <v>108</v>
      </c>
      <c r="H62">
        <v>2572157</v>
      </c>
      <c r="I62">
        <v>3789</v>
      </c>
      <c r="J62">
        <v>2568368</v>
      </c>
      <c r="K62">
        <v>0</v>
      </c>
      <c r="L62">
        <v>1528424</v>
      </c>
      <c r="M62">
        <v>2570032</v>
      </c>
      <c r="N62">
        <v>0</v>
      </c>
      <c r="O62">
        <v>0</v>
      </c>
      <c r="P62">
        <v>1041611</v>
      </c>
      <c r="Q62">
        <v>3</v>
      </c>
      <c r="R62">
        <v>0</v>
      </c>
      <c r="S62">
        <v>0</v>
      </c>
      <c r="T62">
        <v>440</v>
      </c>
      <c r="U62">
        <v>14</v>
      </c>
      <c r="V62">
        <v>1</v>
      </c>
      <c r="W62">
        <v>0</v>
      </c>
      <c r="X62">
        <v>452</v>
      </c>
      <c r="Y62">
        <v>1528424</v>
      </c>
      <c r="Z62">
        <v>1041902</v>
      </c>
      <c r="AA62">
        <v>0</v>
      </c>
      <c r="AB62">
        <v>0</v>
      </c>
      <c r="AC62">
        <v>1769</v>
      </c>
      <c r="AD62">
        <v>3</v>
      </c>
      <c r="AE62">
        <v>0</v>
      </c>
      <c r="AF62">
        <v>0</v>
      </c>
      <c r="AG62">
        <v>53</v>
      </c>
      <c r="AH62">
        <v>5</v>
      </c>
      <c r="AI62">
        <v>1</v>
      </c>
      <c r="AJ62">
        <v>0</v>
      </c>
      <c r="AK62" s="1">
        <f t="shared" si="0"/>
        <v>1831</v>
      </c>
    </row>
    <row r="63" spans="1:37" x14ac:dyDescent="0.25">
      <c r="A63">
        <v>202607</v>
      </c>
      <c r="B63" t="s">
        <v>83</v>
      </c>
      <c r="D63" t="s">
        <v>109</v>
      </c>
      <c r="E63" s="1" t="str">
        <f>VLOOKUP(D63,[1]Sheet1!$B$2:$C$735,2,0)</f>
        <v>WINK</v>
      </c>
      <c r="F63" t="s">
        <v>54</v>
      </c>
      <c r="G63" t="s">
        <v>54</v>
      </c>
      <c r="H63">
        <v>1170683</v>
      </c>
      <c r="I63">
        <v>0</v>
      </c>
      <c r="J63">
        <v>1170683</v>
      </c>
      <c r="K63">
        <v>0</v>
      </c>
      <c r="L63">
        <v>1142699</v>
      </c>
      <c r="M63">
        <v>1170678</v>
      </c>
      <c r="N63">
        <v>0</v>
      </c>
      <c r="O63">
        <v>0</v>
      </c>
      <c r="P63">
        <v>27984</v>
      </c>
      <c r="Q63">
        <v>0</v>
      </c>
      <c r="R63">
        <v>0</v>
      </c>
      <c r="S63">
        <v>0</v>
      </c>
      <c r="T63">
        <v>5</v>
      </c>
      <c r="U63">
        <v>0</v>
      </c>
      <c r="V63">
        <v>0</v>
      </c>
      <c r="W63">
        <v>0</v>
      </c>
      <c r="X63">
        <v>5</v>
      </c>
      <c r="Y63">
        <v>1142699</v>
      </c>
      <c r="Z63">
        <v>27979</v>
      </c>
      <c r="AA63">
        <v>0</v>
      </c>
      <c r="AB63">
        <v>0</v>
      </c>
      <c r="AC63">
        <v>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s="1">
        <f t="shared" si="0"/>
        <v>5</v>
      </c>
    </row>
    <row r="64" spans="1:37" x14ac:dyDescent="0.25">
      <c r="A64">
        <v>202607</v>
      </c>
      <c r="B64" t="s">
        <v>83</v>
      </c>
      <c r="D64" t="s">
        <v>110</v>
      </c>
      <c r="E64" s="1" t="str">
        <f>VLOOKUP(D64,[1]Sheet1!$B$2:$C$735,2,0)</f>
        <v>SOUL</v>
      </c>
      <c r="F64" t="s">
        <v>42</v>
      </c>
      <c r="G64" t="s">
        <v>111</v>
      </c>
      <c r="H64">
        <v>2338163</v>
      </c>
      <c r="I64">
        <v>0</v>
      </c>
      <c r="J64">
        <v>2338163</v>
      </c>
      <c r="K64">
        <v>0</v>
      </c>
      <c r="L64">
        <v>2338163</v>
      </c>
      <c r="M64">
        <v>2338163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2338163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s="1">
        <f t="shared" si="0"/>
        <v>0</v>
      </c>
    </row>
    <row r="65" spans="1:37" x14ac:dyDescent="0.25">
      <c r="A65">
        <v>202607</v>
      </c>
      <c r="B65" t="s">
        <v>83</v>
      </c>
      <c r="D65" t="s">
        <v>112</v>
      </c>
      <c r="E65" s="1" t="str">
        <f>VLOOKUP(D65,[1]Sheet1!$B$2:$C$735,2,0)</f>
        <v>中国银联</v>
      </c>
      <c r="F65" t="s">
        <v>75</v>
      </c>
      <c r="G65" t="s">
        <v>113</v>
      </c>
      <c r="H65">
        <v>4077617</v>
      </c>
      <c r="I65">
        <v>90882</v>
      </c>
      <c r="J65">
        <v>3986735</v>
      </c>
      <c r="K65">
        <v>0</v>
      </c>
      <c r="L65">
        <v>3526626</v>
      </c>
      <c r="M65">
        <v>3990521</v>
      </c>
      <c r="N65">
        <v>0</v>
      </c>
      <c r="O65">
        <v>0</v>
      </c>
      <c r="P65">
        <v>544797</v>
      </c>
      <c r="Q65">
        <v>0</v>
      </c>
      <c r="R65">
        <v>0</v>
      </c>
      <c r="S65">
        <v>0</v>
      </c>
      <c r="T65">
        <v>2226</v>
      </c>
      <c r="U65">
        <v>157</v>
      </c>
      <c r="V65">
        <v>15</v>
      </c>
      <c r="W65">
        <v>10</v>
      </c>
      <c r="X65">
        <v>2241</v>
      </c>
      <c r="Y65">
        <v>3526626</v>
      </c>
      <c r="Z65">
        <v>548750</v>
      </c>
      <c r="AA65">
        <v>0</v>
      </c>
      <c r="AB65">
        <v>0</v>
      </c>
      <c r="AC65">
        <v>2073</v>
      </c>
      <c r="AD65">
        <v>0</v>
      </c>
      <c r="AE65">
        <v>0</v>
      </c>
      <c r="AF65">
        <v>0</v>
      </c>
      <c r="AG65">
        <v>153</v>
      </c>
      <c r="AH65">
        <v>4</v>
      </c>
      <c r="AI65">
        <v>11</v>
      </c>
      <c r="AJ65">
        <v>0</v>
      </c>
      <c r="AK65" s="1">
        <f t="shared" si="0"/>
        <v>2241</v>
      </c>
    </row>
    <row r="66" spans="1:37" x14ac:dyDescent="0.25">
      <c r="A66">
        <v>202607</v>
      </c>
      <c r="B66" t="s">
        <v>83</v>
      </c>
      <c r="D66" t="s">
        <v>114</v>
      </c>
      <c r="E66" s="1" t="str">
        <f>VLOOKUP(D66,[1]Sheet1!$B$2:$C$735,2,0)</f>
        <v>效果通</v>
      </c>
      <c r="F66" t="s">
        <v>101</v>
      </c>
      <c r="G66" t="s">
        <v>102</v>
      </c>
      <c r="H66">
        <v>1315325</v>
      </c>
      <c r="I66">
        <v>0</v>
      </c>
      <c r="J66">
        <v>1315325</v>
      </c>
      <c r="K66">
        <v>0</v>
      </c>
      <c r="L66">
        <v>1314881</v>
      </c>
      <c r="M66">
        <v>1315279</v>
      </c>
      <c r="N66">
        <v>0</v>
      </c>
      <c r="O66">
        <v>0</v>
      </c>
      <c r="P66">
        <v>444</v>
      </c>
      <c r="Q66">
        <v>0</v>
      </c>
      <c r="R66">
        <v>0</v>
      </c>
      <c r="S66">
        <v>0</v>
      </c>
      <c r="T66">
        <v>46</v>
      </c>
      <c r="U66">
        <v>0</v>
      </c>
      <c r="V66">
        <v>0</v>
      </c>
      <c r="W66">
        <v>0</v>
      </c>
      <c r="X66">
        <v>46</v>
      </c>
      <c r="Y66">
        <v>1314881</v>
      </c>
      <c r="Z66">
        <v>398</v>
      </c>
      <c r="AA66">
        <v>0</v>
      </c>
      <c r="AB66">
        <v>0</v>
      </c>
      <c r="AC66">
        <v>46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s="1">
        <f t="shared" si="0"/>
        <v>46</v>
      </c>
    </row>
    <row r="67" spans="1:37" x14ac:dyDescent="0.25">
      <c r="A67">
        <v>202607</v>
      </c>
      <c r="B67" t="s">
        <v>83</v>
      </c>
      <c r="D67" t="s">
        <v>115</v>
      </c>
      <c r="E67" s="1" t="str">
        <f>VLOOKUP(D67,[1]Sheet1!$B$2:$C$735,2,0)</f>
        <v>DSP-慎用</v>
      </c>
      <c r="F67" t="s">
        <v>101</v>
      </c>
      <c r="G67" t="s">
        <v>102</v>
      </c>
      <c r="H67">
        <v>1708280</v>
      </c>
      <c r="I67">
        <v>551013</v>
      </c>
      <c r="J67">
        <v>1157267</v>
      </c>
      <c r="K67">
        <v>0</v>
      </c>
      <c r="L67">
        <v>1699017</v>
      </c>
      <c r="M67">
        <v>1156983</v>
      </c>
      <c r="N67">
        <v>0</v>
      </c>
      <c r="O67">
        <v>0</v>
      </c>
      <c r="P67">
        <v>9240</v>
      </c>
      <c r="Q67">
        <v>0</v>
      </c>
      <c r="R67">
        <v>0</v>
      </c>
      <c r="S67">
        <v>0</v>
      </c>
      <c r="T67">
        <v>284</v>
      </c>
      <c r="U67">
        <v>23</v>
      </c>
      <c r="V67">
        <v>0</v>
      </c>
      <c r="W67">
        <v>0</v>
      </c>
      <c r="X67">
        <v>284</v>
      </c>
      <c r="Y67">
        <v>1699017</v>
      </c>
      <c r="Z67">
        <v>8979</v>
      </c>
      <c r="AA67">
        <v>0</v>
      </c>
      <c r="AB67">
        <v>0</v>
      </c>
      <c r="AC67">
        <v>261</v>
      </c>
      <c r="AD67">
        <v>0</v>
      </c>
      <c r="AE67">
        <v>0</v>
      </c>
      <c r="AF67">
        <v>0</v>
      </c>
      <c r="AG67">
        <v>23</v>
      </c>
      <c r="AH67">
        <v>0</v>
      </c>
      <c r="AI67">
        <v>0</v>
      </c>
      <c r="AJ67">
        <v>0</v>
      </c>
      <c r="AK67" s="1">
        <f t="shared" ref="AK67:AK123" si="1">SUM(AA67:AJ67)</f>
        <v>284</v>
      </c>
    </row>
    <row r="68" spans="1:37" x14ac:dyDescent="0.25">
      <c r="A68">
        <v>202607</v>
      </c>
      <c r="B68" t="s">
        <v>83</v>
      </c>
      <c r="D68" t="s">
        <v>116</v>
      </c>
      <c r="E68" s="1" t="str">
        <f>VLOOKUP(D68,[1]Sheet1!$B$2:$C$735,2,0)</f>
        <v>HUPU</v>
      </c>
      <c r="F68" t="s">
        <v>80</v>
      </c>
      <c r="G68" t="s">
        <v>94</v>
      </c>
      <c r="H68">
        <v>611995</v>
      </c>
      <c r="I68">
        <v>0</v>
      </c>
      <c r="J68">
        <v>611995</v>
      </c>
      <c r="K68">
        <v>0</v>
      </c>
      <c r="L68">
        <v>136580</v>
      </c>
      <c r="M68">
        <v>611829</v>
      </c>
      <c r="N68">
        <v>0</v>
      </c>
      <c r="O68">
        <v>0</v>
      </c>
      <c r="P68">
        <v>475415</v>
      </c>
      <c r="Q68">
        <v>0</v>
      </c>
      <c r="R68">
        <v>0</v>
      </c>
      <c r="S68">
        <v>0</v>
      </c>
      <c r="T68">
        <v>166</v>
      </c>
      <c r="U68">
        <v>0</v>
      </c>
      <c r="V68">
        <v>0</v>
      </c>
      <c r="W68">
        <v>0</v>
      </c>
      <c r="X68">
        <v>166</v>
      </c>
      <c r="Y68">
        <v>136580</v>
      </c>
      <c r="Z68">
        <v>475249</v>
      </c>
      <c r="AA68">
        <v>0</v>
      </c>
      <c r="AB68">
        <v>0</v>
      </c>
      <c r="AC68">
        <v>166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s="1">
        <f t="shared" si="1"/>
        <v>166</v>
      </c>
    </row>
    <row r="69" spans="1:37" x14ac:dyDescent="0.25">
      <c r="A69">
        <v>202607</v>
      </c>
      <c r="B69" t="s">
        <v>83</v>
      </c>
      <c r="D69" t="s">
        <v>117</v>
      </c>
      <c r="E69" s="1" t="str">
        <f>VLOOKUP(D69,[1]Sheet1!$B$2:$C$735,2,0)</f>
        <v>哈啰</v>
      </c>
      <c r="F69" t="s">
        <v>59</v>
      </c>
      <c r="G69" t="s">
        <v>60</v>
      </c>
      <c r="H69">
        <v>7082013</v>
      </c>
      <c r="I69">
        <v>0</v>
      </c>
      <c r="J69">
        <v>7082013</v>
      </c>
      <c r="K69">
        <v>0</v>
      </c>
      <c r="L69">
        <v>641673</v>
      </c>
      <c r="M69">
        <v>3663203</v>
      </c>
      <c r="N69">
        <v>0</v>
      </c>
      <c r="O69">
        <v>0</v>
      </c>
      <c r="P69">
        <v>6440340</v>
      </c>
      <c r="Q69">
        <v>0</v>
      </c>
      <c r="R69">
        <v>0</v>
      </c>
      <c r="S69">
        <v>0</v>
      </c>
      <c r="T69">
        <v>3418810</v>
      </c>
      <c r="U69">
        <v>0</v>
      </c>
      <c r="V69">
        <v>0</v>
      </c>
      <c r="W69">
        <v>0</v>
      </c>
      <c r="X69">
        <v>3418810</v>
      </c>
      <c r="Y69">
        <v>641673</v>
      </c>
      <c r="Z69">
        <v>3021530</v>
      </c>
      <c r="AA69">
        <v>0</v>
      </c>
      <c r="AB69">
        <v>0</v>
      </c>
      <c r="AC69">
        <v>3418810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s="1">
        <f t="shared" si="1"/>
        <v>3418810</v>
      </c>
    </row>
    <row r="70" spans="1:37" x14ac:dyDescent="0.25">
      <c r="A70">
        <v>202607</v>
      </c>
      <c r="B70" t="s">
        <v>83</v>
      </c>
      <c r="D70" t="s">
        <v>118</v>
      </c>
      <c r="E70" s="1" t="str">
        <f>VLOOKUP(D70,[1]Sheet1!$B$2:$C$735,2,0)</f>
        <v>品友互动</v>
      </c>
      <c r="F70" t="s">
        <v>101</v>
      </c>
      <c r="G70" t="s">
        <v>102</v>
      </c>
      <c r="H70">
        <v>779977</v>
      </c>
      <c r="I70">
        <v>327507</v>
      </c>
      <c r="J70">
        <v>452470</v>
      </c>
      <c r="K70">
        <v>0</v>
      </c>
      <c r="L70">
        <v>562470</v>
      </c>
      <c r="M70">
        <v>603947</v>
      </c>
      <c r="N70">
        <v>0</v>
      </c>
      <c r="O70">
        <v>0</v>
      </c>
      <c r="P70">
        <v>66000</v>
      </c>
      <c r="Q70">
        <v>0</v>
      </c>
      <c r="R70">
        <v>0</v>
      </c>
      <c r="S70">
        <v>0</v>
      </c>
      <c r="T70">
        <v>30</v>
      </c>
      <c r="U70">
        <v>0</v>
      </c>
      <c r="V70">
        <v>0</v>
      </c>
      <c r="W70">
        <v>0</v>
      </c>
      <c r="X70">
        <v>30</v>
      </c>
      <c r="Y70">
        <v>562470</v>
      </c>
      <c r="Z70">
        <v>217463</v>
      </c>
      <c r="AA70">
        <v>0</v>
      </c>
      <c r="AB70">
        <v>0</v>
      </c>
      <c r="AC70">
        <v>35</v>
      </c>
      <c r="AD70">
        <v>0</v>
      </c>
      <c r="AE70">
        <v>0</v>
      </c>
      <c r="AF70">
        <v>0</v>
      </c>
      <c r="AG70">
        <v>9</v>
      </c>
      <c r="AH70">
        <v>0</v>
      </c>
      <c r="AI70">
        <v>0</v>
      </c>
      <c r="AJ70">
        <v>0</v>
      </c>
      <c r="AK70" s="1">
        <f t="shared" si="1"/>
        <v>44</v>
      </c>
    </row>
    <row r="71" spans="1:37" x14ac:dyDescent="0.25">
      <c r="A71">
        <v>202607</v>
      </c>
      <c r="B71" t="s">
        <v>83</v>
      </c>
      <c r="D71" t="s">
        <v>119</v>
      </c>
      <c r="E71" s="1" t="str">
        <f>VLOOKUP(D71,[1]Sheet1!$B$2:$C$735,2,0)</f>
        <v>悠易互通</v>
      </c>
      <c r="F71" t="s">
        <v>101</v>
      </c>
      <c r="G71" t="s">
        <v>102</v>
      </c>
      <c r="H71">
        <v>385135</v>
      </c>
      <c r="I71">
        <v>32317</v>
      </c>
      <c r="J71">
        <v>352817</v>
      </c>
      <c r="K71">
        <v>1</v>
      </c>
      <c r="L71">
        <v>312251</v>
      </c>
      <c r="M71">
        <v>354562</v>
      </c>
      <c r="N71">
        <v>0</v>
      </c>
      <c r="O71">
        <v>0</v>
      </c>
      <c r="P71">
        <v>70367</v>
      </c>
      <c r="Q71">
        <v>0</v>
      </c>
      <c r="R71">
        <v>0</v>
      </c>
      <c r="S71">
        <v>0</v>
      </c>
      <c r="T71">
        <v>512</v>
      </c>
      <c r="U71">
        <v>262</v>
      </c>
      <c r="V71">
        <v>1</v>
      </c>
      <c r="W71">
        <v>0</v>
      </c>
      <c r="X71">
        <v>512</v>
      </c>
      <c r="Y71">
        <v>312251</v>
      </c>
      <c r="Z71">
        <v>72372</v>
      </c>
      <c r="AA71">
        <v>0</v>
      </c>
      <c r="AB71">
        <v>0</v>
      </c>
      <c r="AC71">
        <v>251</v>
      </c>
      <c r="AD71">
        <v>0</v>
      </c>
      <c r="AE71">
        <v>0</v>
      </c>
      <c r="AF71">
        <v>0</v>
      </c>
      <c r="AG71">
        <v>261</v>
      </c>
      <c r="AH71">
        <v>0</v>
      </c>
      <c r="AI71">
        <v>0</v>
      </c>
      <c r="AJ71">
        <v>0</v>
      </c>
      <c r="AK71" s="1">
        <f t="shared" si="1"/>
        <v>512</v>
      </c>
    </row>
    <row r="72" spans="1:37" x14ac:dyDescent="0.25">
      <c r="A72">
        <v>202607</v>
      </c>
      <c r="B72" t="s">
        <v>83</v>
      </c>
      <c r="D72" t="s">
        <v>120</v>
      </c>
      <c r="E72" s="1" t="str">
        <f>VLOOKUP(D72,[1]Sheet1!$B$2:$C$735,2,0)</f>
        <v>YOUDAO</v>
      </c>
      <c r="F72" t="s">
        <v>96</v>
      </c>
      <c r="G72" t="s">
        <v>97</v>
      </c>
      <c r="H72">
        <v>2089956</v>
      </c>
      <c r="I72">
        <v>1</v>
      </c>
      <c r="J72">
        <v>2089955</v>
      </c>
      <c r="K72">
        <v>0</v>
      </c>
      <c r="L72">
        <v>2032146</v>
      </c>
      <c r="M72">
        <v>2089953</v>
      </c>
      <c r="N72">
        <v>0</v>
      </c>
      <c r="O72">
        <v>0</v>
      </c>
      <c r="P72">
        <v>57810</v>
      </c>
      <c r="Q72">
        <v>0</v>
      </c>
      <c r="R72">
        <v>0</v>
      </c>
      <c r="S72">
        <v>0</v>
      </c>
      <c r="T72">
        <v>2</v>
      </c>
      <c r="U72">
        <v>0</v>
      </c>
      <c r="V72">
        <v>0</v>
      </c>
      <c r="W72">
        <v>0</v>
      </c>
      <c r="X72">
        <v>2</v>
      </c>
      <c r="Y72">
        <v>2032146</v>
      </c>
      <c r="Z72">
        <v>57807</v>
      </c>
      <c r="AA72">
        <v>0</v>
      </c>
      <c r="AB72">
        <v>0</v>
      </c>
      <c r="AC72">
        <v>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s="1">
        <f t="shared" si="1"/>
        <v>3</v>
      </c>
    </row>
    <row r="73" spans="1:37" ht="28" x14ac:dyDescent="0.25">
      <c r="A73">
        <v>202607</v>
      </c>
      <c r="B73" t="s">
        <v>83</v>
      </c>
      <c r="D73" t="s">
        <v>121</v>
      </c>
      <c r="E73" s="1" t="str">
        <f>VLOOKUP(D73,[1]Sheet1!$B$2:$C$735,2,0)</f>
        <v>NETEASE NEWS</v>
      </c>
      <c r="F73" t="s">
        <v>80</v>
      </c>
      <c r="G73" t="s">
        <v>81</v>
      </c>
      <c r="H73">
        <v>533556</v>
      </c>
      <c r="I73">
        <v>10468</v>
      </c>
      <c r="J73">
        <v>523088</v>
      </c>
      <c r="K73">
        <v>0</v>
      </c>
      <c r="L73">
        <v>527604</v>
      </c>
      <c r="M73">
        <v>523467</v>
      </c>
      <c r="N73">
        <v>0</v>
      </c>
      <c r="O73">
        <v>0</v>
      </c>
      <c r="P73">
        <v>4494</v>
      </c>
      <c r="Q73">
        <v>0</v>
      </c>
      <c r="R73">
        <v>0</v>
      </c>
      <c r="S73">
        <v>0</v>
      </c>
      <c r="T73">
        <v>853</v>
      </c>
      <c r="U73">
        <v>226</v>
      </c>
      <c r="V73">
        <v>0</v>
      </c>
      <c r="W73">
        <v>0</v>
      </c>
      <c r="X73">
        <v>853</v>
      </c>
      <c r="Y73">
        <v>527604</v>
      </c>
      <c r="Z73">
        <v>4787</v>
      </c>
      <c r="AA73">
        <v>0</v>
      </c>
      <c r="AB73">
        <v>0</v>
      </c>
      <c r="AC73">
        <v>327</v>
      </c>
      <c r="AD73">
        <v>0</v>
      </c>
      <c r="AE73">
        <v>0</v>
      </c>
      <c r="AF73">
        <v>0</v>
      </c>
      <c r="AG73">
        <v>838</v>
      </c>
      <c r="AH73">
        <v>0</v>
      </c>
      <c r="AI73">
        <v>0</v>
      </c>
      <c r="AJ73">
        <v>0</v>
      </c>
      <c r="AK73" s="1">
        <f t="shared" si="1"/>
        <v>1165</v>
      </c>
    </row>
    <row r="74" spans="1:37" x14ac:dyDescent="0.25">
      <c r="A74">
        <v>202607</v>
      </c>
      <c r="B74" t="s">
        <v>83</v>
      </c>
      <c r="D74" t="s">
        <v>122</v>
      </c>
      <c r="E74" s="1" t="str">
        <f>VLOOKUP(D74,[1]Sheet1!$B$2:$C$735,2,0)</f>
        <v>联想DSP</v>
      </c>
      <c r="F74" t="s">
        <v>101</v>
      </c>
      <c r="G74" t="s">
        <v>102</v>
      </c>
      <c r="H74">
        <v>2706768</v>
      </c>
      <c r="I74">
        <v>0</v>
      </c>
      <c r="J74">
        <v>2644474</v>
      </c>
      <c r="K74">
        <v>62294</v>
      </c>
      <c r="L74">
        <v>2701428</v>
      </c>
      <c r="M74">
        <v>2706368</v>
      </c>
      <c r="N74">
        <v>0</v>
      </c>
      <c r="O74">
        <v>0</v>
      </c>
      <c r="P74">
        <v>66561</v>
      </c>
      <c r="Q74">
        <v>0</v>
      </c>
      <c r="R74">
        <v>0</v>
      </c>
      <c r="S74">
        <v>0</v>
      </c>
      <c r="T74">
        <v>62325</v>
      </c>
      <c r="U74">
        <v>62298</v>
      </c>
      <c r="V74">
        <v>62294</v>
      </c>
      <c r="W74">
        <v>0</v>
      </c>
      <c r="X74">
        <v>62325</v>
      </c>
      <c r="Y74">
        <v>2701428</v>
      </c>
      <c r="Z74">
        <v>4940</v>
      </c>
      <c r="AA74">
        <v>0</v>
      </c>
      <c r="AB74">
        <v>0</v>
      </c>
      <c r="AC74">
        <v>41</v>
      </c>
      <c r="AD74">
        <v>0</v>
      </c>
      <c r="AE74">
        <v>0</v>
      </c>
      <c r="AF74">
        <v>0</v>
      </c>
      <c r="AG74">
        <v>359</v>
      </c>
      <c r="AH74">
        <v>0</v>
      </c>
      <c r="AI74">
        <v>0</v>
      </c>
      <c r="AJ74">
        <v>0</v>
      </c>
      <c r="AK74" s="1">
        <f t="shared" si="1"/>
        <v>400</v>
      </c>
    </row>
    <row r="75" spans="1:37" x14ac:dyDescent="0.25">
      <c r="A75">
        <v>202607</v>
      </c>
      <c r="B75" t="s">
        <v>83</v>
      </c>
      <c r="D75" t="s">
        <v>45</v>
      </c>
      <c r="E75" s="1" t="str">
        <f>VLOOKUP(D75,[1]Sheet1!$B$2:$C$735,2,0)</f>
        <v>其他</v>
      </c>
      <c r="F75" t="s">
        <v>45</v>
      </c>
      <c r="G75" t="s">
        <v>45</v>
      </c>
      <c r="H75">
        <v>1153198</v>
      </c>
      <c r="I75">
        <v>101801</v>
      </c>
      <c r="J75">
        <v>1051202</v>
      </c>
      <c r="K75">
        <v>195</v>
      </c>
      <c r="L75">
        <v>825796</v>
      </c>
      <c r="M75">
        <v>1061479</v>
      </c>
      <c r="N75">
        <v>0</v>
      </c>
      <c r="O75">
        <v>0</v>
      </c>
      <c r="P75">
        <v>304720</v>
      </c>
      <c r="Q75">
        <v>0</v>
      </c>
      <c r="R75">
        <v>0</v>
      </c>
      <c r="S75">
        <v>0</v>
      </c>
      <c r="T75">
        <v>9172</v>
      </c>
      <c r="U75">
        <v>3458</v>
      </c>
      <c r="V75">
        <v>198</v>
      </c>
      <c r="W75">
        <v>1</v>
      </c>
      <c r="X75">
        <v>9175</v>
      </c>
      <c r="Y75">
        <v>825796</v>
      </c>
      <c r="Z75">
        <v>314500</v>
      </c>
      <c r="AA75">
        <v>0</v>
      </c>
      <c r="AB75">
        <v>0</v>
      </c>
      <c r="AC75">
        <v>9402</v>
      </c>
      <c r="AD75">
        <v>0</v>
      </c>
      <c r="AE75">
        <v>0</v>
      </c>
      <c r="AF75">
        <v>0</v>
      </c>
      <c r="AG75">
        <v>3497</v>
      </c>
      <c r="AH75">
        <v>0</v>
      </c>
      <c r="AI75">
        <v>3</v>
      </c>
      <c r="AJ75">
        <v>0</v>
      </c>
      <c r="AK75" s="1">
        <f t="shared" si="1"/>
        <v>12902</v>
      </c>
    </row>
    <row r="76" spans="1:37" ht="28" x14ac:dyDescent="0.25">
      <c r="A76">
        <v>202607</v>
      </c>
      <c r="B76" t="s">
        <v>83</v>
      </c>
      <c r="D76" t="s">
        <v>123</v>
      </c>
      <c r="E76" s="1" t="str">
        <f>VLOOKUP(D76,[1]Sheet1!$B$2:$C$735,2,0)</f>
        <v>中国大学慕课</v>
      </c>
      <c r="F76" t="s">
        <v>96</v>
      </c>
      <c r="G76" t="s">
        <v>97</v>
      </c>
      <c r="H76">
        <v>1396551</v>
      </c>
      <c r="I76">
        <v>0</v>
      </c>
      <c r="J76">
        <v>1396551</v>
      </c>
      <c r="K76">
        <v>0</v>
      </c>
      <c r="L76">
        <v>1395563</v>
      </c>
      <c r="M76">
        <v>1396551</v>
      </c>
      <c r="N76">
        <v>0</v>
      </c>
      <c r="O76">
        <v>0</v>
      </c>
      <c r="P76">
        <v>988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1395563</v>
      </c>
      <c r="Z76">
        <v>988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s="1">
        <f t="shared" si="1"/>
        <v>0</v>
      </c>
    </row>
    <row r="77" spans="1:37" x14ac:dyDescent="0.25">
      <c r="A77">
        <v>202607</v>
      </c>
      <c r="B77" t="s">
        <v>83</v>
      </c>
      <c r="D77" t="s">
        <v>124</v>
      </c>
      <c r="E77" s="1" t="str">
        <f>VLOOKUP(D77,[1]Sheet1!$B$2:$C$735,2,0)</f>
        <v>QUNAR</v>
      </c>
      <c r="F77" t="s">
        <v>86</v>
      </c>
      <c r="G77" t="s">
        <v>104</v>
      </c>
      <c r="H77">
        <v>361979</v>
      </c>
      <c r="I77">
        <v>763</v>
      </c>
      <c r="J77">
        <v>361216</v>
      </c>
      <c r="K77">
        <v>0</v>
      </c>
      <c r="L77">
        <v>177429</v>
      </c>
      <c r="M77">
        <v>358344</v>
      </c>
      <c r="N77">
        <v>0</v>
      </c>
      <c r="O77">
        <v>0</v>
      </c>
      <c r="P77">
        <v>184191</v>
      </c>
      <c r="Q77">
        <v>0</v>
      </c>
      <c r="R77">
        <v>0</v>
      </c>
      <c r="S77">
        <v>0</v>
      </c>
      <c r="T77">
        <v>3229</v>
      </c>
      <c r="U77">
        <v>2</v>
      </c>
      <c r="V77">
        <v>0</v>
      </c>
      <c r="W77">
        <v>0</v>
      </c>
      <c r="X77">
        <v>3229</v>
      </c>
      <c r="Y77">
        <v>177429</v>
      </c>
      <c r="Z77">
        <v>180919</v>
      </c>
      <c r="AA77">
        <v>0</v>
      </c>
      <c r="AB77">
        <v>0</v>
      </c>
      <c r="AC77">
        <v>3629</v>
      </c>
      <c r="AD77">
        <v>0</v>
      </c>
      <c r="AE77">
        <v>0</v>
      </c>
      <c r="AF77">
        <v>0</v>
      </c>
      <c r="AG77">
        <v>2</v>
      </c>
      <c r="AH77">
        <v>0</v>
      </c>
      <c r="AI77">
        <v>0</v>
      </c>
      <c r="AJ77">
        <v>0</v>
      </c>
      <c r="AK77" s="1">
        <f t="shared" si="1"/>
        <v>3631</v>
      </c>
    </row>
    <row r="78" spans="1:37" x14ac:dyDescent="0.25">
      <c r="A78">
        <v>202607</v>
      </c>
      <c r="B78" t="s">
        <v>83</v>
      </c>
      <c r="D78" t="s">
        <v>125</v>
      </c>
      <c r="E78" s="1" t="str">
        <f>VLOOKUP(D78,[1]Sheet1!$B$2:$C$735,2,0)</f>
        <v>汽水音乐</v>
      </c>
      <c r="F78" t="s">
        <v>50</v>
      </c>
      <c r="G78" t="s">
        <v>51</v>
      </c>
      <c r="H78">
        <v>449918</v>
      </c>
      <c r="I78">
        <v>1034</v>
      </c>
      <c r="J78">
        <v>448884</v>
      </c>
      <c r="K78">
        <v>0</v>
      </c>
      <c r="L78">
        <v>440108</v>
      </c>
      <c r="M78">
        <v>444515</v>
      </c>
      <c r="N78">
        <v>0</v>
      </c>
      <c r="O78">
        <v>0</v>
      </c>
      <c r="P78">
        <v>8689</v>
      </c>
      <c r="Q78">
        <v>0</v>
      </c>
      <c r="R78">
        <v>0</v>
      </c>
      <c r="S78">
        <v>0</v>
      </c>
      <c r="T78">
        <v>5065</v>
      </c>
      <c r="U78">
        <v>425</v>
      </c>
      <c r="V78">
        <v>0</v>
      </c>
      <c r="W78">
        <v>0</v>
      </c>
      <c r="X78">
        <v>5065</v>
      </c>
      <c r="Y78">
        <v>440108</v>
      </c>
      <c r="Z78">
        <v>4498</v>
      </c>
      <c r="AA78">
        <v>0</v>
      </c>
      <c r="AB78">
        <v>0</v>
      </c>
      <c r="AC78">
        <v>4541</v>
      </c>
      <c r="AD78">
        <v>0</v>
      </c>
      <c r="AE78">
        <v>0</v>
      </c>
      <c r="AF78">
        <v>0</v>
      </c>
      <c r="AG78">
        <v>771</v>
      </c>
      <c r="AH78">
        <v>0</v>
      </c>
      <c r="AI78">
        <v>0</v>
      </c>
      <c r="AJ78">
        <v>0</v>
      </c>
      <c r="AK78" s="1">
        <f t="shared" si="1"/>
        <v>5312</v>
      </c>
    </row>
    <row r="79" spans="1:37" x14ac:dyDescent="0.25">
      <c r="A79">
        <v>202607</v>
      </c>
      <c r="B79" t="s">
        <v>83</v>
      </c>
      <c r="D79" t="s">
        <v>126</v>
      </c>
      <c r="E79" s="1" t="str">
        <f>VLOOKUP(D79,[1]Sheet1!$B$2:$C$735,2,0)</f>
        <v>NETEASE</v>
      </c>
      <c r="F79" t="s">
        <v>80</v>
      </c>
      <c r="G79" t="s">
        <v>127</v>
      </c>
      <c r="H79">
        <v>718548</v>
      </c>
      <c r="I79">
        <v>3</v>
      </c>
      <c r="J79">
        <v>718545</v>
      </c>
      <c r="K79">
        <v>0</v>
      </c>
      <c r="L79">
        <v>235149</v>
      </c>
      <c r="M79">
        <v>718188</v>
      </c>
      <c r="N79">
        <v>0</v>
      </c>
      <c r="O79">
        <v>0</v>
      </c>
      <c r="P79">
        <v>483383</v>
      </c>
      <c r="Q79">
        <v>0</v>
      </c>
      <c r="R79">
        <v>0</v>
      </c>
      <c r="S79">
        <v>0</v>
      </c>
      <c r="T79">
        <v>357</v>
      </c>
      <c r="U79">
        <v>13</v>
      </c>
      <c r="V79">
        <v>3</v>
      </c>
      <c r="W79">
        <v>0</v>
      </c>
      <c r="X79">
        <v>360</v>
      </c>
      <c r="Y79">
        <v>235149</v>
      </c>
      <c r="Z79">
        <v>483039</v>
      </c>
      <c r="AA79">
        <v>0</v>
      </c>
      <c r="AB79">
        <v>0</v>
      </c>
      <c r="AC79">
        <v>344</v>
      </c>
      <c r="AD79">
        <v>0</v>
      </c>
      <c r="AE79">
        <v>0</v>
      </c>
      <c r="AF79">
        <v>0</v>
      </c>
      <c r="AG79">
        <v>13</v>
      </c>
      <c r="AH79">
        <v>0</v>
      </c>
      <c r="AI79">
        <v>3</v>
      </c>
      <c r="AJ79">
        <v>0</v>
      </c>
      <c r="AK79" s="1">
        <f t="shared" si="1"/>
        <v>360</v>
      </c>
    </row>
    <row r="80" spans="1:37" x14ac:dyDescent="0.25">
      <c r="A80">
        <v>202607</v>
      </c>
      <c r="B80" t="s">
        <v>83</v>
      </c>
      <c r="D80" t="s">
        <v>128</v>
      </c>
      <c r="E80" s="1" t="str">
        <f>VLOOKUP(D80,[1]Sheet1!$B$2:$C$735,2,0)</f>
        <v>MOJI</v>
      </c>
      <c r="F80" t="s">
        <v>47</v>
      </c>
      <c r="G80" t="s">
        <v>129</v>
      </c>
      <c r="H80">
        <v>275191</v>
      </c>
      <c r="I80">
        <v>442</v>
      </c>
      <c r="J80">
        <v>274749</v>
      </c>
      <c r="K80">
        <v>0</v>
      </c>
      <c r="L80">
        <v>268116</v>
      </c>
      <c r="M80">
        <v>274175</v>
      </c>
      <c r="N80">
        <v>0</v>
      </c>
      <c r="O80">
        <v>0</v>
      </c>
      <c r="P80">
        <v>6061</v>
      </c>
      <c r="Q80">
        <v>0</v>
      </c>
      <c r="R80">
        <v>0</v>
      </c>
      <c r="S80">
        <v>0</v>
      </c>
      <c r="T80">
        <v>838</v>
      </c>
      <c r="U80">
        <v>748</v>
      </c>
      <c r="V80">
        <v>2</v>
      </c>
      <c r="W80">
        <v>0</v>
      </c>
      <c r="X80">
        <v>840</v>
      </c>
      <c r="Y80">
        <v>268116</v>
      </c>
      <c r="Z80">
        <v>6135</v>
      </c>
      <c r="AA80">
        <v>0</v>
      </c>
      <c r="AB80">
        <v>0</v>
      </c>
      <c r="AC80">
        <v>112</v>
      </c>
      <c r="AD80">
        <v>0</v>
      </c>
      <c r="AE80">
        <v>0</v>
      </c>
      <c r="AF80">
        <v>0</v>
      </c>
      <c r="AG80">
        <v>826</v>
      </c>
      <c r="AH80">
        <v>0</v>
      </c>
      <c r="AI80">
        <v>2</v>
      </c>
      <c r="AJ80">
        <v>0</v>
      </c>
      <c r="AK80" s="1">
        <f t="shared" si="1"/>
        <v>940</v>
      </c>
    </row>
    <row r="81" spans="1:37" x14ac:dyDescent="0.25">
      <c r="A81">
        <v>202607</v>
      </c>
      <c r="B81" t="s">
        <v>83</v>
      </c>
      <c r="D81" t="s">
        <v>130</v>
      </c>
      <c r="E81" s="1" t="str">
        <f>VLOOKUP(D81,[1]Sheet1!$B$2:$C$735,2,0)</f>
        <v>新浪新闻</v>
      </c>
      <c r="F81" t="s">
        <v>80</v>
      </c>
      <c r="G81" t="s">
        <v>81</v>
      </c>
      <c r="H81">
        <v>91870</v>
      </c>
      <c r="I81">
        <v>423</v>
      </c>
      <c r="J81">
        <v>91447</v>
      </c>
      <c r="K81">
        <v>0</v>
      </c>
      <c r="L81">
        <v>84881</v>
      </c>
      <c r="M81">
        <v>90950</v>
      </c>
      <c r="N81">
        <v>0</v>
      </c>
      <c r="O81">
        <v>0</v>
      </c>
      <c r="P81">
        <v>5977</v>
      </c>
      <c r="Q81">
        <v>0</v>
      </c>
      <c r="R81">
        <v>0</v>
      </c>
      <c r="S81">
        <v>0</v>
      </c>
      <c r="T81">
        <v>768</v>
      </c>
      <c r="U81">
        <v>740</v>
      </c>
      <c r="V81">
        <v>1</v>
      </c>
      <c r="W81">
        <v>0</v>
      </c>
      <c r="X81">
        <v>769</v>
      </c>
      <c r="Y81">
        <v>84881</v>
      </c>
      <c r="Z81">
        <v>6160</v>
      </c>
      <c r="AA81">
        <v>0</v>
      </c>
      <c r="AB81">
        <v>0</v>
      </c>
      <c r="AC81">
        <v>75</v>
      </c>
      <c r="AD81">
        <v>0</v>
      </c>
      <c r="AE81">
        <v>0</v>
      </c>
      <c r="AF81">
        <v>0</v>
      </c>
      <c r="AG81">
        <v>753</v>
      </c>
      <c r="AH81">
        <v>0</v>
      </c>
      <c r="AI81">
        <v>1</v>
      </c>
      <c r="AJ81">
        <v>0</v>
      </c>
      <c r="AK81" s="1">
        <f t="shared" si="1"/>
        <v>829</v>
      </c>
    </row>
    <row r="82" spans="1:37" x14ac:dyDescent="0.25">
      <c r="A82">
        <v>202607</v>
      </c>
      <c r="B82" t="s">
        <v>83</v>
      </c>
      <c r="D82" t="s">
        <v>131</v>
      </c>
      <c r="E82" s="1" t="str">
        <f>VLOOKUP(D82,[1]Sheet1!$B$2:$C$735,2,0)</f>
        <v>KEEP</v>
      </c>
      <c r="F82" t="s">
        <v>132</v>
      </c>
      <c r="G82" t="s">
        <v>133</v>
      </c>
      <c r="H82">
        <v>363688</v>
      </c>
      <c r="I82">
        <v>285102</v>
      </c>
      <c r="J82">
        <v>78586</v>
      </c>
      <c r="K82">
        <v>0</v>
      </c>
      <c r="L82">
        <v>251576</v>
      </c>
      <c r="M82">
        <v>189508</v>
      </c>
      <c r="N82">
        <v>0</v>
      </c>
      <c r="O82">
        <v>0</v>
      </c>
      <c r="P82">
        <v>1042</v>
      </c>
      <c r="Q82">
        <v>0</v>
      </c>
      <c r="R82">
        <v>0</v>
      </c>
      <c r="S82">
        <v>0</v>
      </c>
      <c r="T82">
        <v>148</v>
      </c>
      <c r="U82">
        <v>0</v>
      </c>
      <c r="V82">
        <v>0</v>
      </c>
      <c r="W82">
        <v>0</v>
      </c>
      <c r="X82">
        <v>148</v>
      </c>
      <c r="Y82">
        <v>251576</v>
      </c>
      <c r="Z82">
        <v>111959</v>
      </c>
      <c r="AA82">
        <v>0</v>
      </c>
      <c r="AB82">
        <v>0</v>
      </c>
      <c r="AC82">
        <v>153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s="1">
        <f t="shared" si="1"/>
        <v>153</v>
      </c>
    </row>
    <row r="83" spans="1:37" x14ac:dyDescent="0.25">
      <c r="A83">
        <v>202607</v>
      </c>
      <c r="B83" t="s">
        <v>83</v>
      </c>
      <c r="D83" t="s">
        <v>134</v>
      </c>
      <c r="E83" s="1" t="str">
        <f>VLOOKUP(D83,[1]Sheet1!$B$2:$C$735,2,0)</f>
        <v>豆瓣</v>
      </c>
      <c r="F83" t="s">
        <v>42</v>
      </c>
      <c r="G83" t="s">
        <v>135</v>
      </c>
      <c r="H83">
        <v>814590</v>
      </c>
      <c r="I83">
        <v>678</v>
      </c>
      <c r="J83">
        <v>813912</v>
      </c>
      <c r="K83">
        <v>0</v>
      </c>
      <c r="L83">
        <v>807257</v>
      </c>
      <c r="M83">
        <v>813903</v>
      </c>
      <c r="N83">
        <v>0</v>
      </c>
      <c r="O83">
        <v>0</v>
      </c>
      <c r="P83">
        <v>6673</v>
      </c>
      <c r="Q83">
        <v>0</v>
      </c>
      <c r="R83">
        <v>0</v>
      </c>
      <c r="S83">
        <v>0</v>
      </c>
      <c r="T83">
        <v>485</v>
      </c>
      <c r="U83">
        <v>184</v>
      </c>
      <c r="V83">
        <v>0</v>
      </c>
      <c r="W83">
        <v>0</v>
      </c>
      <c r="X83">
        <v>485</v>
      </c>
      <c r="Y83">
        <v>807257</v>
      </c>
      <c r="Z83">
        <v>6698</v>
      </c>
      <c r="AA83">
        <v>0</v>
      </c>
      <c r="AB83">
        <v>0</v>
      </c>
      <c r="AC83">
        <v>164</v>
      </c>
      <c r="AD83">
        <v>0</v>
      </c>
      <c r="AE83">
        <v>0</v>
      </c>
      <c r="AF83">
        <v>0</v>
      </c>
      <c r="AG83">
        <v>471</v>
      </c>
      <c r="AH83">
        <v>0</v>
      </c>
      <c r="AI83">
        <v>0</v>
      </c>
      <c r="AJ83">
        <v>0</v>
      </c>
      <c r="AK83" s="1">
        <f t="shared" si="1"/>
        <v>635</v>
      </c>
    </row>
    <row r="84" spans="1:37" x14ac:dyDescent="0.25">
      <c r="A84">
        <v>202607</v>
      </c>
      <c r="B84" t="s">
        <v>83</v>
      </c>
      <c r="D84" t="s">
        <v>136</v>
      </c>
      <c r="E84" s="1" t="str">
        <f>VLOOKUP(D84,[1]Sheet1!$B$2:$C$735,2,0)</f>
        <v>JIANYING</v>
      </c>
      <c r="F84" t="s">
        <v>35</v>
      </c>
      <c r="G84" t="s">
        <v>137</v>
      </c>
      <c r="H84">
        <v>207194</v>
      </c>
      <c r="I84">
        <v>137634</v>
      </c>
      <c r="J84">
        <v>69560</v>
      </c>
      <c r="K84">
        <v>0</v>
      </c>
      <c r="L84">
        <v>64110</v>
      </c>
      <c r="M84">
        <v>200550</v>
      </c>
      <c r="N84">
        <v>0</v>
      </c>
      <c r="O84">
        <v>0</v>
      </c>
      <c r="P84">
        <v>11237</v>
      </c>
      <c r="Q84">
        <v>0</v>
      </c>
      <c r="R84">
        <v>0</v>
      </c>
      <c r="S84">
        <v>0</v>
      </c>
      <c r="T84">
        <v>630</v>
      </c>
      <c r="U84">
        <v>227</v>
      </c>
      <c r="V84">
        <v>0</v>
      </c>
      <c r="W84">
        <v>0</v>
      </c>
      <c r="X84">
        <v>630</v>
      </c>
      <c r="Y84">
        <v>64110</v>
      </c>
      <c r="Z84">
        <v>136487</v>
      </c>
      <c r="AA84">
        <v>0</v>
      </c>
      <c r="AB84">
        <v>0</v>
      </c>
      <c r="AC84">
        <v>5982</v>
      </c>
      <c r="AD84">
        <v>0</v>
      </c>
      <c r="AE84">
        <v>0</v>
      </c>
      <c r="AF84">
        <v>0</v>
      </c>
      <c r="AG84">
        <v>615</v>
      </c>
      <c r="AH84">
        <v>0</v>
      </c>
      <c r="AI84">
        <v>0</v>
      </c>
      <c r="AJ84">
        <v>0</v>
      </c>
      <c r="AK84" s="1">
        <f t="shared" si="1"/>
        <v>6597</v>
      </c>
    </row>
    <row r="85" spans="1:37" x14ac:dyDescent="0.25">
      <c r="A85">
        <v>202607</v>
      </c>
      <c r="B85" t="s">
        <v>83</v>
      </c>
      <c r="D85" t="s">
        <v>138</v>
      </c>
      <c r="E85" s="1" t="str">
        <f>VLOOKUP(D85,[1]Sheet1!$B$2:$C$735,2,0)</f>
        <v>咪咕视频</v>
      </c>
      <c r="F85" t="s">
        <v>35</v>
      </c>
      <c r="G85" t="s">
        <v>36</v>
      </c>
      <c r="H85">
        <v>46550</v>
      </c>
      <c r="I85">
        <v>0</v>
      </c>
      <c r="J85">
        <v>46550</v>
      </c>
      <c r="K85">
        <v>0</v>
      </c>
      <c r="L85">
        <v>0</v>
      </c>
      <c r="M85">
        <v>46550</v>
      </c>
      <c r="N85">
        <v>0</v>
      </c>
      <c r="O85">
        <v>0</v>
      </c>
      <c r="P85">
        <v>46550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46550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s="1">
        <f t="shared" si="1"/>
        <v>0</v>
      </c>
    </row>
    <row r="86" spans="1:37" x14ac:dyDescent="0.25">
      <c r="A86">
        <v>202607</v>
      </c>
      <c r="B86" t="s">
        <v>83</v>
      </c>
      <c r="D86" t="s">
        <v>139</v>
      </c>
      <c r="E86" s="1" t="str">
        <f>VLOOKUP(D86,[1]Sheet1!$B$2:$C$735,2,0)</f>
        <v>Line</v>
      </c>
      <c r="F86" t="s">
        <v>42</v>
      </c>
      <c r="G86" t="s">
        <v>111</v>
      </c>
      <c r="H86">
        <v>225474</v>
      </c>
      <c r="I86">
        <v>70034</v>
      </c>
      <c r="J86">
        <v>155440</v>
      </c>
      <c r="K86">
        <v>0</v>
      </c>
      <c r="L86">
        <v>135489</v>
      </c>
      <c r="M86">
        <v>168244</v>
      </c>
      <c r="N86">
        <v>0</v>
      </c>
      <c r="O86">
        <v>0</v>
      </c>
      <c r="P86">
        <v>77128</v>
      </c>
      <c r="Q86">
        <v>0</v>
      </c>
      <c r="R86">
        <v>0</v>
      </c>
      <c r="S86">
        <v>0</v>
      </c>
      <c r="T86">
        <v>46</v>
      </c>
      <c r="U86">
        <v>7</v>
      </c>
      <c r="V86">
        <v>0</v>
      </c>
      <c r="W86">
        <v>0</v>
      </c>
      <c r="X86">
        <v>53</v>
      </c>
      <c r="Y86">
        <v>135489</v>
      </c>
      <c r="Z86">
        <v>89876</v>
      </c>
      <c r="AA86">
        <v>0</v>
      </c>
      <c r="AB86">
        <v>0</v>
      </c>
      <c r="AC86">
        <v>88</v>
      </c>
      <c r="AD86">
        <v>0</v>
      </c>
      <c r="AE86">
        <v>0</v>
      </c>
      <c r="AF86">
        <v>0</v>
      </c>
      <c r="AG86">
        <v>16</v>
      </c>
      <c r="AH86">
        <v>5</v>
      </c>
      <c r="AI86">
        <v>0</v>
      </c>
      <c r="AJ86">
        <v>0</v>
      </c>
      <c r="AK86" s="1">
        <f t="shared" si="1"/>
        <v>109</v>
      </c>
    </row>
    <row r="87" spans="1:37" x14ac:dyDescent="0.25">
      <c r="A87">
        <v>202607</v>
      </c>
      <c r="B87" t="s">
        <v>83</v>
      </c>
      <c r="D87" t="s">
        <v>140</v>
      </c>
      <c r="E87" s="1" t="str">
        <f>VLOOKUP(D87,[1]Sheet1!$B$2:$C$735,2,0)</f>
        <v>航班管家</v>
      </c>
      <c r="F87" t="s">
        <v>59</v>
      </c>
      <c r="G87" t="s">
        <v>60</v>
      </c>
      <c r="H87">
        <v>46292</v>
      </c>
      <c r="I87">
        <v>944</v>
      </c>
      <c r="J87">
        <v>45348</v>
      </c>
      <c r="K87">
        <v>0</v>
      </c>
      <c r="L87">
        <v>42360</v>
      </c>
      <c r="M87">
        <v>45253</v>
      </c>
      <c r="N87">
        <v>0</v>
      </c>
      <c r="O87">
        <v>0</v>
      </c>
      <c r="P87">
        <v>2839</v>
      </c>
      <c r="Q87">
        <v>0</v>
      </c>
      <c r="R87">
        <v>0</v>
      </c>
      <c r="S87">
        <v>0</v>
      </c>
      <c r="T87">
        <v>793</v>
      </c>
      <c r="U87">
        <v>395</v>
      </c>
      <c r="V87">
        <v>0</v>
      </c>
      <c r="W87">
        <v>0</v>
      </c>
      <c r="X87">
        <v>793</v>
      </c>
      <c r="Y87">
        <v>42360</v>
      </c>
      <c r="Z87">
        <v>2956</v>
      </c>
      <c r="AA87">
        <v>0</v>
      </c>
      <c r="AB87">
        <v>0</v>
      </c>
      <c r="AC87">
        <v>202</v>
      </c>
      <c r="AD87">
        <v>0</v>
      </c>
      <c r="AE87">
        <v>0</v>
      </c>
      <c r="AF87">
        <v>0</v>
      </c>
      <c r="AG87">
        <v>774</v>
      </c>
      <c r="AH87">
        <v>0</v>
      </c>
      <c r="AI87">
        <v>0</v>
      </c>
      <c r="AJ87">
        <v>0</v>
      </c>
      <c r="AK87" s="1">
        <f t="shared" si="1"/>
        <v>976</v>
      </c>
    </row>
    <row r="88" spans="1:37" x14ac:dyDescent="0.25">
      <c r="A88">
        <v>202607</v>
      </c>
      <c r="B88" t="s">
        <v>83</v>
      </c>
      <c r="D88" t="s">
        <v>141</v>
      </c>
      <c r="E88" s="1" t="str">
        <f>VLOOKUP(D88,[1]Sheet1!$B$2:$C$735,2,0)</f>
        <v>凤凰新闻</v>
      </c>
      <c r="F88" t="s">
        <v>80</v>
      </c>
      <c r="G88" t="s">
        <v>81</v>
      </c>
      <c r="H88">
        <v>58865</v>
      </c>
      <c r="I88">
        <v>1043</v>
      </c>
      <c r="J88">
        <v>57822</v>
      </c>
      <c r="K88">
        <v>0</v>
      </c>
      <c r="L88">
        <v>52509</v>
      </c>
      <c r="M88">
        <v>58009</v>
      </c>
      <c r="N88">
        <v>0</v>
      </c>
      <c r="O88">
        <v>0</v>
      </c>
      <c r="P88">
        <v>5445</v>
      </c>
      <c r="Q88">
        <v>0</v>
      </c>
      <c r="R88">
        <v>0</v>
      </c>
      <c r="S88">
        <v>0</v>
      </c>
      <c r="T88">
        <v>591</v>
      </c>
      <c r="U88">
        <v>132</v>
      </c>
      <c r="V88">
        <v>1</v>
      </c>
      <c r="W88">
        <v>0</v>
      </c>
      <c r="X88">
        <v>592</v>
      </c>
      <c r="Y88">
        <v>52509</v>
      </c>
      <c r="Z88">
        <v>5570</v>
      </c>
      <c r="AA88">
        <v>0</v>
      </c>
      <c r="AB88">
        <v>0</v>
      </c>
      <c r="AC88">
        <v>219</v>
      </c>
      <c r="AD88">
        <v>0</v>
      </c>
      <c r="AE88">
        <v>0</v>
      </c>
      <c r="AF88">
        <v>0</v>
      </c>
      <c r="AG88">
        <v>566</v>
      </c>
      <c r="AH88">
        <v>0</v>
      </c>
      <c r="AI88">
        <v>1</v>
      </c>
      <c r="AJ88">
        <v>0</v>
      </c>
      <c r="AK88" s="1">
        <f t="shared" si="1"/>
        <v>786</v>
      </c>
    </row>
    <row r="89" spans="1:37" ht="28" x14ac:dyDescent="0.25">
      <c r="A89">
        <v>202607</v>
      </c>
      <c r="B89" t="s">
        <v>83</v>
      </c>
      <c r="D89" t="s">
        <v>142</v>
      </c>
      <c r="E89" s="1" t="str">
        <f>VLOOKUP(D89,[1]Sheet1!$B$2:$C$735,2,0)</f>
        <v>有道翻译官</v>
      </c>
      <c r="F89" t="s">
        <v>96</v>
      </c>
      <c r="G89" t="s">
        <v>97</v>
      </c>
      <c r="H89">
        <v>60119</v>
      </c>
      <c r="I89">
        <v>766</v>
      </c>
      <c r="J89">
        <v>59353</v>
      </c>
      <c r="K89">
        <v>0</v>
      </c>
      <c r="L89">
        <v>56881</v>
      </c>
      <c r="M89">
        <v>59370</v>
      </c>
      <c r="N89">
        <v>0</v>
      </c>
      <c r="O89">
        <v>0</v>
      </c>
      <c r="P89">
        <v>2515</v>
      </c>
      <c r="Q89">
        <v>0</v>
      </c>
      <c r="R89">
        <v>0</v>
      </c>
      <c r="S89">
        <v>0</v>
      </c>
      <c r="T89">
        <v>516</v>
      </c>
      <c r="U89">
        <v>190</v>
      </c>
      <c r="V89">
        <v>0</v>
      </c>
      <c r="W89">
        <v>0</v>
      </c>
      <c r="X89">
        <v>516</v>
      </c>
      <c r="Y89">
        <v>56881</v>
      </c>
      <c r="Z89">
        <v>2542</v>
      </c>
      <c r="AA89">
        <v>0</v>
      </c>
      <c r="AB89">
        <v>0</v>
      </c>
      <c r="AC89">
        <v>193</v>
      </c>
      <c r="AD89">
        <v>0</v>
      </c>
      <c r="AE89">
        <v>0</v>
      </c>
      <c r="AF89">
        <v>0</v>
      </c>
      <c r="AG89">
        <v>503</v>
      </c>
      <c r="AH89">
        <v>0</v>
      </c>
      <c r="AI89">
        <v>0</v>
      </c>
      <c r="AJ89">
        <v>0</v>
      </c>
      <c r="AK89" s="1">
        <f t="shared" si="1"/>
        <v>696</v>
      </c>
    </row>
    <row r="90" spans="1:37" x14ac:dyDescent="0.25">
      <c r="A90">
        <v>202607</v>
      </c>
      <c r="B90" t="s">
        <v>83</v>
      </c>
      <c r="D90" t="s">
        <v>143</v>
      </c>
      <c r="E90" s="1" t="str">
        <f>VLOOKUP(D90,[1]Sheet1!$B$2:$C$735,2,0)</f>
        <v>新数网络</v>
      </c>
      <c r="F90" t="s">
        <v>101</v>
      </c>
      <c r="G90" t="s">
        <v>102</v>
      </c>
      <c r="H90">
        <v>190942</v>
      </c>
      <c r="I90">
        <v>0</v>
      </c>
      <c r="J90">
        <v>190942</v>
      </c>
      <c r="K90">
        <v>0</v>
      </c>
      <c r="L90">
        <v>87972</v>
      </c>
      <c r="M90">
        <v>190787</v>
      </c>
      <c r="N90">
        <v>0</v>
      </c>
      <c r="O90">
        <v>0</v>
      </c>
      <c r="P90">
        <v>102960</v>
      </c>
      <c r="Q90">
        <v>0</v>
      </c>
      <c r="R90">
        <v>0</v>
      </c>
      <c r="S90">
        <v>0</v>
      </c>
      <c r="T90">
        <v>155</v>
      </c>
      <c r="U90">
        <v>10</v>
      </c>
      <c r="V90">
        <v>0</v>
      </c>
      <c r="W90">
        <v>0</v>
      </c>
      <c r="X90">
        <v>155</v>
      </c>
      <c r="Y90">
        <v>87972</v>
      </c>
      <c r="Z90">
        <v>102815</v>
      </c>
      <c r="AA90">
        <v>0</v>
      </c>
      <c r="AB90">
        <v>0</v>
      </c>
      <c r="AC90">
        <v>145</v>
      </c>
      <c r="AD90">
        <v>0</v>
      </c>
      <c r="AE90">
        <v>0</v>
      </c>
      <c r="AF90">
        <v>0</v>
      </c>
      <c r="AG90">
        <v>10</v>
      </c>
      <c r="AH90">
        <v>0</v>
      </c>
      <c r="AI90">
        <v>0</v>
      </c>
      <c r="AJ90">
        <v>0</v>
      </c>
      <c r="AK90" s="1">
        <f t="shared" si="1"/>
        <v>155</v>
      </c>
    </row>
    <row r="91" spans="1:37" x14ac:dyDescent="0.25">
      <c r="A91">
        <v>202607</v>
      </c>
      <c r="B91" t="s">
        <v>83</v>
      </c>
      <c r="D91" t="s">
        <v>144</v>
      </c>
      <c r="E91" s="1" t="str">
        <f>VLOOKUP(D91,[1]Sheet1!$B$2:$C$735,2,0)</f>
        <v>XINGTU</v>
      </c>
      <c r="F91" t="s">
        <v>54</v>
      </c>
      <c r="G91" t="s">
        <v>54</v>
      </c>
      <c r="H91">
        <v>156915</v>
      </c>
      <c r="I91">
        <v>126233</v>
      </c>
      <c r="J91">
        <v>30682</v>
      </c>
      <c r="K91">
        <v>0</v>
      </c>
      <c r="L91">
        <v>27768</v>
      </c>
      <c r="M91">
        <v>148768</v>
      </c>
      <c r="N91">
        <v>0</v>
      </c>
      <c r="O91">
        <v>0</v>
      </c>
      <c r="P91">
        <v>7911</v>
      </c>
      <c r="Q91">
        <v>0</v>
      </c>
      <c r="R91">
        <v>0</v>
      </c>
      <c r="S91">
        <v>0</v>
      </c>
      <c r="T91">
        <v>3024</v>
      </c>
      <c r="U91">
        <v>126</v>
      </c>
      <c r="V91">
        <v>0</v>
      </c>
      <c r="W91">
        <v>0</v>
      </c>
      <c r="X91">
        <v>3024</v>
      </c>
      <c r="Y91">
        <v>27768</v>
      </c>
      <c r="Z91">
        <v>121049</v>
      </c>
      <c r="AA91">
        <v>0</v>
      </c>
      <c r="AB91">
        <v>0</v>
      </c>
      <c r="AC91">
        <v>5085</v>
      </c>
      <c r="AD91">
        <v>0</v>
      </c>
      <c r="AE91">
        <v>0</v>
      </c>
      <c r="AF91">
        <v>0</v>
      </c>
      <c r="AG91">
        <v>3013</v>
      </c>
      <c r="AH91">
        <v>0</v>
      </c>
      <c r="AI91">
        <v>0</v>
      </c>
      <c r="AJ91">
        <v>0</v>
      </c>
      <c r="AK91" s="1">
        <f t="shared" si="1"/>
        <v>8098</v>
      </c>
    </row>
    <row r="92" spans="1:37" x14ac:dyDescent="0.25">
      <c r="A92">
        <v>202607</v>
      </c>
      <c r="B92" t="s">
        <v>83</v>
      </c>
      <c r="D92" t="s">
        <v>145</v>
      </c>
      <c r="E92" s="1" t="str">
        <f>VLOOKUP(D92,[1]Sheet1!$B$2:$C$735,2,0)</f>
        <v>直播吧</v>
      </c>
      <c r="F92" t="s">
        <v>35</v>
      </c>
      <c r="G92" t="s">
        <v>146</v>
      </c>
      <c r="H92">
        <v>67461</v>
      </c>
      <c r="I92">
        <v>1890</v>
      </c>
      <c r="J92">
        <v>65571</v>
      </c>
      <c r="K92">
        <v>0</v>
      </c>
      <c r="L92">
        <v>67277</v>
      </c>
      <c r="M92">
        <v>65649</v>
      </c>
      <c r="N92">
        <v>0</v>
      </c>
      <c r="O92">
        <v>0</v>
      </c>
      <c r="P92">
        <v>96</v>
      </c>
      <c r="Q92">
        <v>0</v>
      </c>
      <c r="R92">
        <v>0</v>
      </c>
      <c r="S92">
        <v>0</v>
      </c>
      <c r="T92">
        <v>10</v>
      </c>
      <c r="U92">
        <v>0</v>
      </c>
      <c r="V92">
        <v>0</v>
      </c>
      <c r="W92">
        <v>0</v>
      </c>
      <c r="X92">
        <v>10</v>
      </c>
      <c r="Y92">
        <v>67277</v>
      </c>
      <c r="Z92">
        <v>174</v>
      </c>
      <c r="AA92">
        <v>0</v>
      </c>
      <c r="AB92">
        <v>0</v>
      </c>
      <c r="AC92">
        <v>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s="1">
        <f t="shared" si="1"/>
        <v>10</v>
      </c>
    </row>
    <row r="93" spans="1:37" x14ac:dyDescent="0.25">
      <c r="A93">
        <v>202607</v>
      </c>
      <c r="B93" t="s">
        <v>83</v>
      </c>
      <c r="D93" t="s">
        <v>147</v>
      </c>
      <c r="E93" s="1" t="str">
        <f>VLOOKUP(D93,[1]Sheet1!$B$2:$C$735,2,0)</f>
        <v>下厨房</v>
      </c>
      <c r="F93" t="s">
        <v>59</v>
      </c>
      <c r="G93" t="s">
        <v>148</v>
      </c>
      <c r="H93">
        <v>6359</v>
      </c>
      <c r="I93">
        <v>6359</v>
      </c>
      <c r="J93">
        <v>0</v>
      </c>
      <c r="K93">
        <v>0</v>
      </c>
      <c r="L93">
        <v>6359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6359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s="1">
        <f t="shared" si="1"/>
        <v>0</v>
      </c>
    </row>
    <row r="94" spans="1:37" ht="28" x14ac:dyDescent="0.25">
      <c r="A94">
        <v>202607</v>
      </c>
      <c r="B94" t="s">
        <v>83</v>
      </c>
      <c r="D94" t="s">
        <v>149</v>
      </c>
      <c r="E94" s="1" t="str">
        <f>VLOOKUP(D94,[1]Sheet1!$B$2:$C$735,2,0)</f>
        <v>UC BROWSER</v>
      </c>
      <c r="F94" t="s">
        <v>47</v>
      </c>
      <c r="G94" t="s">
        <v>78</v>
      </c>
      <c r="H94">
        <v>8518</v>
      </c>
      <c r="I94">
        <v>22</v>
      </c>
      <c r="J94">
        <v>5</v>
      </c>
      <c r="K94">
        <v>8491</v>
      </c>
      <c r="L94">
        <v>7785</v>
      </c>
      <c r="M94">
        <v>7790</v>
      </c>
      <c r="N94">
        <v>0</v>
      </c>
      <c r="O94">
        <v>0</v>
      </c>
      <c r="P94">
        <v>7790</v>
      </c>
      <c r="Q94">
        <v>0</v>
      </c>
      <c r="R94">
        <v>0</v>
      </c>
      <c r="S94">
        <v>0</v>
      </c>
      <c r="T94">
        <v>8496</v>
      </c>
      <c r="U94">
        <v>8496</v>
      </c>
      <c r="V94">
        <v>8513</v>
      </c>
      <c r="W94">
        <v>0</v>
      </c>
      <c r="X94">
        <v>8518</v>
      </c>
      <c r="Y94">
        <v>7785</v>
      </c>
      <c r="Z94">
        <v>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706</v>
      </c>
      <c r="AH94">
        <v>0</v>
      </c>
      <c r="AI94">
        <v>22</v>
      </c>
      <c r="AJ94">
        <v>0</v>
      </c>
      <c r="AK94" s="1">
        <f t="shared" si="1"/>
        <v>728</v>
      </c>
    </row>
    <row r="95" spans="1:37" x14ac:dyDescent="0.25">
      <c r="A95">
        <v>202607</v>
      </c>
      <c r="B95" t="s">
        <v>83</v>
      </c>
      <c r="D95" t="s">
        <v>150</v>
      </c>
      <c r="E95" s="1" t="str">
        <f>VLOOKUP(D95,[1]Sheet1!$B$2:$C$735,2,0)</f>
        <v>乐乎</v>
      </c>
      <c r="F95" t="s">
        <v>42</v>
      </c>
      <c r="G95" t="s">
        <v>135</v>
      </c>
      <c r="H95">
        <v>10838</v>
      </c>
      <c r="I95">
        <v>0</v>
      </c>
      <c r="J95">
        <v>10838</v>
      </c>
      <c r="K95">
        <v>0</v>
      </c>
      <c r="L95">
        <v>10838</v>
      </c>
      <c r="M95">
        <v>10838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10838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s="1">
        <f t="shared" si="1"/>
        <v>0</v>
      </c>
    </row>
    <row r="96" spans="1:37" x14ac:dyDescent="0.25">
      <c r="A96">
        <v>202607</v>
      </c>
      <c r="B96" t="s">
        <v>83</v>
      </c>
      <c r="D96" t="s">
        <v>151</v>
      </c>
      <c r="E96" s="1" t="str">
        <f>VLOOKUP(D96,[1]Sheet1!$B$2:$C$735,2,0)</f>
        <v>懂球帝</v>
      </c>
      <c r="F96" t="s">
        <v>80</v>
      </c>
      <c r="G96" t="s">
        <v>94</v>
      </c>
      <c r="H96">
        <v>1969</v>
      </c>
      <c r="I96">
        <v>0</v>
      </c>
      <c r="J96">
        <v>1969</v>
      </c>
      <c r="K96">
        <v>0</v>
      </c>
      <c r="L96">
        <v>1957</v>
      </c>
      <c r="M96">
        <v>1969</v>
      </c>
      <c r="N96">
        <v>0</v>
      </c>
      <c r="O96">
        <v>0</v>
      </c>
      <c r="P96">
        <v>12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1957</v>
      </c>
      <c r="Z96">
        <v>12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s="1">
        <f t="shared" si="1"/>
        <v>0</v>
      </c>
    </row>
    <row r="97" spans="1:37" x14ac:dyDescent="0.25">
      <c r="A97">
        <v>202607</v>
      </c>
      <c r="B97" t="s">
        <v>83</v>
      </c>
      <c r="D97" t="s">
        <v>152</v>
      </c>
      <c r="E97" s="1" t="str">
        <f>VLOOKUP(D97,[1]Sheet1!$B$2:$C$735,2,0)</f>
        <v>腾讯文档</v>
      </c>
      <c r="F97" t="s">
        <v>47</v>
      </c>
      <c r="G97" t="s">
        <v>153</v>
      </c>
      <c r="H97">
        <v>1721</v>
      </c>
      <c r="I97">
        <v>0</v>
      </c>
      <c r="J97">
        <v>1721</v>
      </c>
      <c r="K97">
        <v>0</v>
      </c>
      <c r="L97">
        <v>871</v>
      </c>
      <c r="M97">
        <v>1721</v>
      </c>
      <c r="N97">
        <v>0</v>
      </c>
      <c r="O97">
        <v>0</v>
      </c>
      <c r="P97">
        <v>850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871</v>
      </c>
      <c r="Z97">
        <v>850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s="1">
        <f t="shared" si="1"/>
        <v>0</v>
      </c>
    </row>
    <row r="98" spans="1:37" ht="28" x14ac:dyDescent="0.25">
      <c r="A98">
        <v>202607</v>
      </c>
      <c r="B98" t="s">
        <v>83</v>
      </c>
      <c r="D98" t="s">
        <v>154</v>
      </c>
      <c r="E98" s="1" t="str">
        <f>VLOOKUP(D98,[1]Sheet1!$B$2:$C$735,2,0)</f>
        <v>wifi万能钥匙</v>
      </c>
      <c r="F98" t="s">
        <v>47</v>
      </c>
      <c r="G98" t="s">
        <v>129</v>
      </c>
      <c r="H98">
        <v>1746</v>
      </c>
      <c r="I98">
        <v>0</v>
      </c>
      <c r="J98">
        <v>1746</v>
      </c>
      <c r="K98">
        <v>0</v>
      </c>
      <c r="L98">
        <v>1697</v>
      </c>
      <c r="M98">
        <v>1743</v>
      </c>
      <c r="N98">
        <v>0</v>
      </c>
      <c r="O98">
        <v>0</v>
      </c>
      <c r="P98">
        <v>49</v>
      </c>
      <c r="Q98">
        <v>0</v>
      </c>
      <c r="R98">
        <v>0</v>
      </c>
      <c r="S98">
        <v>0</v>
      </c>
      <c r="T98">
        <v>3</v>
      </c>
      <c r="U98">
        <v>0</v>
      </c>
      <c r="V98">
        <v>0</v>
      </c>
      <c r="W98">
        <v>0</v>
      </c>
      <c r="X98">
        <v>3</v>
      </c>
      <c r="Y98">
        <v>1697</v>
      </c>
      <c r="Z98">
        <v>46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s="1">
        <f t="shared" si="1"/>
        <v>3</v>
      </c>
    </row>
    <row r="99" spans="1:37" x14ac:dyDescent="0.25">
      <c r="A99">
        <v>202607</v>
      </c>
      <c r="B99" t="s">
        <v>83</v>
      </c>
      <c r="D99" t="s">
        <v>155</v>
      </c>
      <c r="E99" s="1" t="str">
        <f>VLOOKUP(D99,[1]Sheet1!$B$2:$C$735,2,0)</f>
        <v>WESING</v>
      </c>
      <c r="F99" t="s">
        <v>50</v>
      </c>
      <c r="G99" t="s">
        <v>156</v>
      </c>
      <c r="H99">
        <v>989</v>
      </c>
      <c r="I99">
        <v>0</v>
      </c>
      <c r="J99">
        <v>989</v>
      </c>
      <c r="K99">
        <v>0</v>
      </c>
      <c r="L99">
        <v>0</v>
      </c>
      <c r="M99">
        <v>976</v>
      </c>
      <c r="N99">
        <v>0</v>
      </c>
      <c r="O99">
        <v>0</v>
      </c>
      <c r="P99">
        <v>989</v>
      </c>
      <c r="Q99">
        <v>0</v>
      </c>
      <c r="R99">
        <v>0</v>
      </c>
      <c r="S99">
        <v>0</v>
      </c>
      <c r="T99">
        <v>13</v>
      </c>
      <c r="U99">
        <v>0</v>
      </c>
      <c r="V99">
        <v>0</v>
      </c>
      <c r="W99">
        <v>0</v>
      </c>
      <c r="X99">
        <v>13</v>
      </c>
      <c r="Y99">
        <v>0</v>
      </c>
      <c r="Z99">
        <v>976</v>
      </c>
      <c r="AA99">
        <v>0</v>
      </c>
      <c r="AB99">
        <v>0</v>
      </c>
      <c r="AC99">
        <v>13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s="1">
        <f t="shared" si="1"/>
        <v>13</v>
      </c>
    </row>
    <row r="100" spans="1:37" x14ac:dyDescent="0.25">
      <c r="A100">
        <v>202607</v>
      </c>
      <c r="B100" t="s">
        <v>83</v>
      </c>
      <c r="D100" t="s">
        <v>157</v>
      </c>
      <c r="E100" s="1" t="str">
        <f>VLOOKUP(D100,[1]Sheet1!$B$2:$C$735,2,0)</f>
        <v>虎牙直播</v>
      </c>
      <c r="F100" t="s">
        <v>158</v>
      </c>
      <c r="G100" t="s">
        <v>159</v>
      </c>
      <c r="H100">
        <v>600</v>
      </c>
      <c r="I100">
        <v>0</v>
      </c>
      <c r="J100">
        <v>600</v>
      </c>
      <c r="K100">
        <v>0</v>
      </c>
      <c r="L100">
        <v>0</v>
      </c>
      <c r="M100">
        <v>444</v>
      </c>
      <c r="N100">
        <v>0</v>
      </c>
      <c r="O100">
        <v>0</v>
      </c>
      <c r="P100">
        <v>597</v>
      </c>
      <c r="Q100">
        <v>0</v>
      </c>
      <c r="R100">
        <v>0</v>
      </c>
      <c r="S100">
        <v>0</v>
      </c>
      <c r="T100">
        <v>156</v>
      </c>
      <c r="U100">
        <v>3</v>
      </c>
      <c r="V100">
        <v>0</v>
      </c>
      <c r="W100">
        <v>0</v>
      </c>
      <c r="X100">
        <v>156</v>
      </c>
      <c r="Y100">
        <v>0</v>
      </c>
      <c r="Z100">
        <v>444</v>
      </c>
      <c r="AA100">
        <v>0</v>
      </c>
      <c r="AB100">
        <v>0</v>
      </c>
      <c r="AC100">
        <v>153</v>
      </c>
      <c r="AD100">
        <v>0</v>
      </c>
      <c r="AE100">
        <v>0</v>
      </c>
      <c r="AF100">
        <v>0</v>
      </c>
      <c r="AG100">
        <v>3</v>
      </c>
      <c r="AH100">
        <v>0</v>
      </c>
      <c r="AI100">
        <v>0</v>
      </c>
      <c r="AJ100">
        <v>0</v>
      </c>
      <c r="AK100" s="1">
        <f t="shared" si="1"/>
        <v>156</v>
      </c>
    </row>
    <row r="101" spans="1:37" x14ac:dyDescent="0.25">
      <c r="A101">
        <v>202607</v>
      </c>
      <c r="B101" t="s">
        <v>83</v>
      </c>
      <c r="D101" t="s">
        <v>160</v>
      </c>
      <c r="E101" s="1" t="str">
        <f>VLOOKUP(D101,[1]Sheet1!$B$2:$C$735,2,0)</f>
        <v>桔柚</v>
      </c>
      <c r="F101" t="s">
        <v>50</v>
      </c>
      <c r="G101" t="s">
        <v>51</v>
      </c>
      <c r="H101">
        <v>41</v>
      </c>
      <c r="I101">
        <v>0</v>
      </c>
      <c r="J101">
        <v>41</v>
      </c>
      <c r="K101">
        <v>0</v>
      </c>
      <c r="L101">
        <v>0</v>
      </c>
      <c r="M101">
        <v>41</v>
      </c>
      <c r="N101">
        <v>0</v>
      </c>
      <c r="O101">
        <v>0</v>
      </c>
      <c r="P101">
        <v>41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s="1">
        <f t="shared" si="1"/>
        <v>0</v>
      </c>
    </row>
    <row r="102" spans="1:37" ht="28" x14ac:dyDescent="0.25">
      <c r="A102">
        <v>202607</v>
      </c>
      <c r="B102" t="s">
        <v>83</v>
      </c>
      <c r="D102" t="s">
        <v>161</v>
      </c>
      <c r="E102" s="1" t="str">
        <f>VLOOKUP(D102,[1]Sheet1!$B$2:$C$735,2,0)</f>
        <v>Tencent QQ</v>
      </c>
      <c r="F102" t="s">
        <v>42</v>
      </c>
      <c r="G102" t="s">
        <v>111</v>
      </c>
      <c r="H102">
        <v>224</v>
      </c>
      <c r="I102">
        <v>0</v>
      </c>
      <c r="J102">
        <v>224</v>
      </c>
      <c r="K102">
        <v>0</v>
      </c>
      <c r="L102">
        <v>81</v>
      </c>
      <c r="M102">
        <v>211</v>
      </c>
      <c r="N102">
        <v>0</v>
      </c>
      <c r="O102">
        <v>0</v>
      </c>
      <c r="P102">
        <v>143</v>
      </c>
      <c r="Q102">
        <v>0</v>
      </c>
      <c r="R102">
        <v>0</v>
      </c>
      <c r="S102">
        <v>0</v>
      </c>
      <c r="T102">
        <v>13</v>
      </c>
      <c r="U102">
        <v>0</v>
      </c>
      <c r="V102">
        <v>0</v>
      </c>
      <c r="W102">
        <v>0</v>
      </c>
      <c r="X102">
        <v>13</v>
      </c>
      <c r="Y102">
        <v>81</v>
      </c>
      <c r="Z102">
        <v>130</v>
      </c>
      <c r="AA102">
        <v>0</v>
      </c>
      <c r="AB102">
        <v>0</v>
      </c>
      <c r="AC102">
        <v>13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s="1">
        <f t="shared" si="1"/>
        <v>13</v>
      </c>
    </row>
    <row r="103" spans="1:37" x14ac:dyDescent="0.25">
      <c r="A103">
        <v>202607</v>
      </c>
      <c r="B103" t="s">
        <v>83</v>
      </c>
      <c r="D103" t="s">
        <v>162</v>
      </c>
      <c r="E103" s="1" t="str">
        <f>VLOOKUP(D103,[1]Sheet1!$B$2:$C$735,2,0)</f>
        <v>SOHUHD</v>
      </c>
      <c r="F103" t="s">
        <v>35</v>
      </c>
      <c r="G103" t="s">
        <v>36</v>
      </c>
      <c r="H103">
        <v>70</v>
      </c>
      <c r="I103">
        <v>0</v>
      </c>
      <c r="J103">
        <v>70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35</v>
      </c>
      <c r="Q103">
        <v>0</v>
      </c>
      <c r="R103">
        <v>0</v>
      </c>
      <c r="S103">
        <v>0</v>
      </c>
      <c r="T103">
        <v>70</v>
      </c>
      <c r="U103">
        <v>35</v>
      </c>
      <c r="V103">
        <v>0</v>
      </c>
      <c r="W103">
        <v>0</v>
      </c>
      <c r="X103">
        <v>70</v>
      </c>
      <c r="Y103">
        <v>0</v>
      </c>
      <c r="Z103">
        <v>0</v>
      </c>
      <c r="AA103">
        <v>0</v>
      </c>
      <c r="AB103">
        <v>0</v>
      </c>
      <c r="AC103">
        <v>35</v>
      </c>
      <c r="AD103">
        <v>0</v>
      </c>
      <c r="AE103">
        <v>0</v>
      </c>
      <c r="AF103">
        <v>0</v>
      </c>
      <c r="AG103">
        <v>35</v>
      </c>
      <c r="AH103">
        <v>0</v>
      </c>
      <c r="AI103">
        <v>0</v>
      </c>
      <c r="AJ103">
        <v>0</v>
      </c>
      <c r="AK103" s="1">
        <f t="shared" si="1"/>
        <v>70</v>
      </c>
    </row>
    <row r="104" spans="1:37" ht="28" x14ac:dyDescent="0.25">
      <c r="A104">
        <v>202607</v>
      </c>
      <c r="B104" t="s">
        <v>83</v>
      </c>
      <c r="D104" t="s">
        <v>163</v>
      </c>
      <c r="E104" s="1" t="s">
        <v>163</v>
      </c>
      <c r="F104" t="s">
        <v>86</v>
      </c>
      <c r="G104" t="s">
        <v>104</v>
      </c>
      <c r="H104">
        <v>42</v>
      </c>
      <c r="I104">
        <v>0</v>
      </c>
      <c r="J104">
        <v>42</v>
      </c>
      <c r="K104">
        <v>0</v>
      </c>
      <c r="L104">
        <v>0</v>
      </c>
      <c r="M104">
        <v>42</v>
      </c>
      <c r="N104">
        <v>0</v>
      </c>
      <c r="O104">
        <v>0</v>
      </c>
      <c r="P104">
        <v>42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s="1">
        <f t="shared" si="1"/>
        <v>0</v>
      </c>
    </row>
    <row r="105" spans="1:37" x14ac:dyDescent="0.25">
      <c r="A105">
        <v>202607</v>
      </c>
      <c r="B105" t="s">
        <v>83</v>
      </c>
      <c r="D105" t="s">
        <v>164</v>
      </c>
      <c r="E105" s="1" t="str">
        <f>VLOOKUP(D105,[1]Sheet1!$B$2:$C$735,2,0)</f>
        <v>京东商城</v>
      </c>
      <c r="F105" t="s">
        <v>62</v>
      </c>
      <c r="G105" t="s">
        <v>165</v>
      </c>
      <c r="H105">
        <v>17</v>
      </c>
      <c r="I105">
        <v>0</v>
      </c>
      <c r="J105">
        <v>17</v>
      </c>
      <c r="K105">
        <v>0</v>
      </c>
      <c r="L105">
        <v>0</v>
      </c>
      <c r="M105">
        <v>17</v>
      </c>
      <c r="N105">
        <v>0</v>
      </c>
      <c r="O105">
        <v>0</v>
      </c>
      <c r="P105">
        <v>17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s="1">
        <f t="shared" si="1"/>
        <v>0</v>
      </c>
    </row>
    <row r="106" spans="1:37" x14ac:dyDescent="0.25">
      <c r="A106">
        <v>202607</v>
      </c>
      <c r="B106" t="s">
        <v>83</v>
      </c>
      <c r="D106" t="s">
        <v>166</v>
      </c>
      <c r="E106" s="1" t="str">
        <f>VLOOKUP(D106,[1]Sheet1!$B$2:$C$735,2,0)</f>
        <v>KUWO</v>
      </c>
      <c r="F106" t="s">
        <v>50</v>
      </c>
      <c r="G106" t="s">
        <v>51</v>
      </c>
      <c r="H106">
        <v>47</v>
      </c>
      <c r="I106">
        <v>0</v>
      </c>
      <c r="J106">
        <v>47</v>
      </c>
      <c r="K106">
        <v>0</v>
      </c>
      <c r="L106">
        <v>0</v>
      </c>
      <c r="M106">
        <v>11</v>
      </c>
      <c r="N106">
        <v>0</v>
      </c>
      <c r="O106">
        <v>0</v>
      </c>
      <c r="P106">
        <v>36</v>
      </c>
      <c r="Q106">
        <v>0</v>
      </c>
      <c r="R106">
        <v>0</v>
      </c>
      <c r="S106">
        <v>0</v>
      </c>
      <c r="T106">
        <v>36</v>
      </c>
      <c r="U106">
        <v>11</v>
      </c>
      <c r="V106">
        <v>0</v>
      </c>
      <c r="W106">
        <v>0</v>
      </c>
      <c r="X106">
        <v>36</v>
      </c>
      <c r="Y106">
        <v>0</v>
      </c>
      <c r="Z106">
        <v>11</v>
      </c>
      <c r="AA106">
        <v>0</v>
      </c>
      <c r="AB106">
        <v>0</v>
      </c>
      <c r="AC106">
        <v>25</v>
      </c>
      <c r="AD106">
        <v>0</v>
      </c>
      <c r="AE106">
        <v>0</v>
      </c>
      <c r="AF106">
        <v>0</v>
      </c>
      <c r="AG106">
        <v>11</v>
      </c>
      <c r="AH106">
        <v>0</v>
      </c>
      <c r="AI106">
        <v>0</v>
      </c>
      <c r="AJ106">
        <v>0</v>
      </c>
      <c r="AK106" s="1">
        <f t="shared" si="1"/>
        <v>36</v>
      </c>
    </row>
    <row r="107" spans="1:37" x14ac:dyDescent="0.25">
      <c r="A107">
        <v>202607</v>
      </c>
      <c r="B107" t="s">
        <v>83</v>
      </c>
      <c r="D107" t="s">
        <v>167</v>
      </c>
      <c r="E107" s="1" t="str">
        <f>VLOOKUP(D107,[1]Sheet1!$B$2:$C$735,2,0)</f>
        <v>百度贴吧</v>
      </c>
      <c r="F107" t="s">
        <v>42</v>
      </c>
      <c r="G107" t="s">
        <v>135</v>
      </c>
      <c r="H107">
        <v>8</v>
      </c>
      <c r="I107">
        <v>0</v>
      </c>
      <c r="J107">
        <v>8</v>
      </c>
      <c r="K107">
        <v>0</v>
      </c>
      <c r="L107">
        <v>0</v>
      </c>
      <c r="M107">
        <v>8</v>
      </c>
      <c r="N107">
        <v>0</v>
      </c>
      <c r="O107">
        <v>0</v>
      </c>
      <c r="P107">
        <v>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s="1">
        <f t="shared" si="1"/>
        <v>0</v>
      </c>
    </row>
    <row r="108" spans="1:37" x14ac:dyDescent="0.25">
      <c r="A108">
        <v>202607</v>
      </c>
      <c r="B108" t="s">
        <v>83</v>
      </c>
      <c r="D108" t="s">
        <v>168</v>
      </c>
      <c r="E108" s="1" t="str">
        <f>VLOOKUP(D108,[1]Sheet1!$B$2:$C$735,2,0)</f>
        <v>Xaxis</v>
      </c>
      <c r="F108" t="s">
        <v>101</v>
      </c>
      <c r="G108" t="s">
        <v>102</v>
      </c>
      <c r="H108">
        <v>8</v>
      </c>
      <c r="I108">
        <v>0</v>
      </c>
      <c r="J108">
        <v>8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8</v>
      </c>
      <c r="Q108">
        <v>0</v>
      </c>
      <c r="R108">
        <v>0</v>
      </c>
      <c r="S108">
        <v>0</v>
      </c>
      <c r="T108">
        <v>7</v>
      </c>
      <c r="U108">
        <v>0</v>
      </c>
      <c r="V108">
        <v>0</v>
      </c>
      <c r="W108">
        <v>0</v>
      </c>
      <c r="X108">
        <v>7</v>
      </c>
      <c r="Y108">
        <v>0</v>
      </c>
      <c r="Z108">
        <v>1</v>
      </c>
      <c r="AA108">
        <v>0</v>
      </c>
      <c r="AB108">
        <v>0</v>
      </c>
      <c r="AC108">
        <v>7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s="1">
        <f t="shared" si="1"/>
        <v>7</v>
      </c>
    </row>
    <row r="109" spans="1:37" x14ac:dyDescent="0.25">
      <c r="A109">
        <v>202607</v>
      </c>
      <c r="B109" t="s">
        <v>83</v>
      </c>
      <c r="D109" t="s">
        <v>169</v>
      </c>
      <c r="E109" s="1" t="str">
        <f>VLOOKUP(D109,[1]Sheet1!$B$2:$C$735,2,0)</f>
        <v>ALI</v>
      </c>
      <c r="F109" t="s">
        <v>45</v>
      </c>
      <c r="G109" t="s">
        <v>45</v>
      </c>
      <c r="H109">
        <v>4</v>
      </c>
      <c r="I109">
        <v>0</v>
      </c>
      <c r="J109">
        <v>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</v>
      </c>
      <c r="U109">
        <v>4</v>
      </c>
      <c r="V109">
        <v>0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4</v>
      </c>
      <c r="AH109">
        <v>0</v>
      </c>
      <c r="AI109">
        <v>0</v>
      </c>
      <c r="AJ109">
        <v>0</v>
      </c>
      <c r="AK109" s="1">
        <f t="shared" si="1"/>
        <v>4</v>
      </c>
    </row>
    <row r="110" spans="1:37" x14ac:dyDescent="0.25">
      <c r="A110">
        <v>202607</v>
      </c>
      <c r="B110" t="s">
        <v>83</v>
      </c>
      <c r="D110" t="s">
        <v>170</v>
      </c>
      <c r="E110" s="1" t="str">
        <f>VLOOKUP(D110,[1]Sheet1!$B$2:$C$735,2,0)</f>
        <v>泛为科技</v>
      </c>
      <c r="F110" t="s">
        <v>101</v>
      </c>
      <c r="G110" t="s">
        <v>102</v>
      </c>
      <c r="H110">
        <v>4</v>
      </c>
      <c r="I110">
        <v>0</v>
      </c>
      <c r="J110">
        <v>0</v>
      </c>
      <c r="K110">
        <v>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4</v>
      </c>
      <c r="U110">
        <v>4</v>
      </c>
      <c r="V110">
        <v>4</v>
      </c>
      <c r="W110">
        <v>0</v>
      </c>
      <c r="X110">
        <v>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</v>
      </c>
      <c r="AH110">
        <v>0</v>
      </c>
      <c r="AI110">
        <v>0</v>
      </c>
      <c r="AJ110">
        <v>0</v>
      </c>
      <c r="AK110" s="1">
        <f t="shared" si="1"/>
        <v>4</v>
      </c>
    </row>
    <row r="111" spans="1:37" x14ac:dyDescent="0.25">
      <c r="A111">
        <v>202607</v>
      </c>
      <c r="B111" t="s">
        <v>83</v>
      </c>
      <c r="D111" t="s">
        <v>171</v>
      </c>
      <c r="E111" s="1" t="str">
        <f>VLOOKUP(D111,[1]Sheet1!$B$2:$C$735,2,0)</f>
        <v>水印相机</v>
      </c>
      <c r="F111" t="s">
        <v>54</v>
      </c>
      <c r="G111" t="s">
        <v>54</v>
      </c>
      <c r="H111">
        <v>4</v>
      </c>
      <c r="I111">
        <v>0</v>
      </c>
      <c r="J111">
        <v>4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4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0</v>
      </c>
      <c r="W111">
        <v>0</v>
      </c>
      <c r="X111">
        <v>3</v>
      </c>
      <c r="Y111">
        <v>0</v>
      </c>
      <c r="Z111">
        <v>1</v>
      </c>
      <c r="AA111">
        <v>0</v>
      </c>
      <c r="AB111">
        <v>0</v>
      </c>
      <c r="AC111">
        <v>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s="1">
        <f t="shared" si="1"/>
        <v>3</v>
      </c>
    </row>
    <row r="112" spans="1:37" x14ac:dyDescent="0.25">
      <c r="A112">
        <v>202607</v>
      </c>
      <c r="B112" t="s">
        <v>83</v>
      </c>
      <c r="D112" t="s">
        <v>172</v>
      </c>
      <c r="E112" s="1" t="str">
        <f>VLOOKUP(D112,[1]Sheet1!$B$2:$C$735,2,0)</f>
        <v>科大讯飞</v>
      </c>
      <c r="F112" t="s">
        <v>101</v>
      </c>
      <c r="G112" t="s">
        <v>173</v>
      </c>
      <c r="H112">
        <v>9</v>
      </c>
      <c r="I112">
        <v>0</v>
      </c>
      <c r="J112">
        <v>9</v>
      </c>
      <c r="K112">
        <v>0</v>
      </c>
      <c r="L112">
        <v>0</v>
      </c>
      <c r="M112">
        <v>9</v>
      </c>
      <c r="N112">
        <v>0</v>
      </c>
      <c r="O112">
        <v>0</v>
      </c>
      <c r="P112">
        <v>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s="1">
        <f t="shared" si="1"/>
        <v>0</v>
      </c>
    </row>
    <row r="113" spans="1:37" x14ac:dyDescent="0.25">
      <c r="A113">
        <v>202607</v>
      </c>
      <c r="B113" t="s">
        <v>83</v>
      </c>
      <c r="D113" t="s">
        <v>174</v>
      </c>
      <c r="E113" s="1" t="str">
        <f>VLOOKUP(D113,[1]Sheet1!$B$2:$C$735,2,0)</f>
        <v>CEL</v>
      </c>
      <c r="F113" t="s">
        <v>158</v>
      </c>
      <c r="G113" t="s">
        <v>159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 s="1">
        <f t="shared" si="1"/>
        <v>1</v>
      </c>
    </row>
    <row r="114" spans="1:37" x14ac:dyDescent="0.25">
      <c r="A114">
        <v>202607</v>
      </c>
      <c r="B114" t="s">
        <v>83</v>
      </c>
      <c r="D114" t="s">
        <v>175</v>
      </c>
      <c r="E114" s="1" t="str">
        <f>VLOOKUP(D114,[1]Sheet1!$B$2:$C$735,2,0)</f>
        <v>QQ阅读</v>
      </c>
      <c r="F114" t="s">
        <v>72</v>
      </c>
      <c r="G114" t="s">
        <v>73</v>
      </c>
      <c r="H114">
        <v>2</v>
      </c>
      <c r="I114">
        <v>0</v>
      </c>
      <c r="J114">
        <v>2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 s="1">
        <f t="shared" si="1"/>
        <v>1</v>
      </c>
    </row>
    <row r="115" spans="1:37" x14ac:dyDescent="0.25">
      <c r="A115">
        <v>202607</v>
      </c>
      <c r="B115" t="s">
        <v>83</v>
      </c>
      <c r="D115" t="s">
        <v>176</v>
      </c>
      <c r="E115" s="1" t="str">
        <f>VLOOKUP(D115,[1]Sheet1!$B$2:$C$735,2,0)</f>
        <v>SINA</v>
      </c>
      <c r="F115" t="s">
        <v>80</v>
      </c>
      <c r="G115" t="s">
        <v>127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s="1">
        <f t="shared" si="1"/>
        <v>0</v>
      </c>
    </row>
    <row r="116" spans="1:37" x14ac:dyDescent="0.25">
      <c r="A116">
        <v>202607</v>
      </c>
      <c r="B116" t="s">
        <v>83</v>
      </c>
      <c r="D116" t="s">
        <v>177</v>
      </c>
      <c r="E116" s="1" t="str">
        <f>VLOOKUP(D116,[1]Sheet1!$B$2:$C$735,2,0)</f>
        <v>企鹅电竞</v>
      </c>
      <c r="F116" t="s">
        <v>35</v>
      </c>
      <c r="G116" t="s">
        <v>146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s="1">
        <f t="shared" si="1"/>
        <v>1</v>
      </c>
    </row>
    <row r="117" spans="1:37" x14ac:dyDescent="0.25">
      <c r="A117">
        <v>202607</v>
      </c>
      <c r="B117" t="s">
        <v>83</v>
      </c>
      <c r="D117" t="s">
        <v>178</v>
      </c>
      <c r="E117" s="1" t="str">
        <f>VLOOKUP(D117,[1]Sheet1!$B$2:$C$735,2,0)</f>
        <v>腾讯会议</v>
      </c>
      <c r="F117" t="s">
        <v>101</v>
      </c>
      <c r="G117" t="s">
        <v>179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s="1">
        <f t="shared" si="1"/>
        <v>1</v>
      </c>
    </row>
    <row r="118" spans="1:37" ht="28" x14ac:dyDescent="0.25">
      <c r="A118">
        <v>202607</v>
      </c>
      <c r="B118" t="s">
        <v>83</v>
      </c>
      <c r="D118" t="s">
        <v>180</v>
      </c>
      <c r="E118" s="1" t="str">
        <f>VLOOKUP(D118,[1]Sheet1!$B$2:$C$735,2,0)</f>
        <v>懂车帝效果联盟</v>
      </c>
      <c r="F118" t="s">
        <v>101</v>
      </c>
      <c r="G118" t="s">
        <v>102</v>
      </c>
      <c r="H118">
        <v>6</v>
      </c>
      <c r="I118">
        <v>0</v>
      </c>
      <c r="J118">
        <v>6</v>
      </c>
      <c r="K118">
        <v>0</v>
      </c>
      <c r="L118">
        <v>0</v>
      </c>
      <c r="M118">
        <v>5</v>
      </c>
      <c r="N118">
        <v>0</v>
      </c>
      <c r="O118">
        <v>0</v>
      </c>
      <c r="P118">
        <v>6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5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s="1">
        <f t="shared" si="1"/>
        <v>1</v>
      </c>
    </row>
    <row r="119" spans="1:37" x14ac:dyDescent="0.25">
      <c r="A119">
        <v>202607</v>
      </c>
      <c r="B119" t="s">
        <v>83</v>
      </c>
      <c r="D119" t="s">
        <v>181</v>
      </c>
      <c r="E119" s="1" t="str">
        <f>VLOOKUP(D119,[1]Sheet1!$B$2:$C$735,2,0)</f>
        <v>韩小圈</v>
      </c>
      <c r="F119" t="s">
        <v>35</v>
      </c>
      <c r="G119" t="s">
        <v>36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s="1">
        <f t="shared" si="1"/>
        <v>1</v>
      </c>
    </row>
    <row r="120" spans="1:37" x14ac:dyDescent="0.25">
      <c r="A120">
        <v>202607</v>
      </c>
      <c r="B120" t="s">
        <v>83</v>
      </c>
      <c r="D120" t="s">
        <v>182</v>
      </c>
      <c r="E120" s="1" t="str">
        <f>VLOOKUP(D120,[1]Sheet1!$B$2:$C$735,2,0)</f>
        <v>Merkury</v>
      </c>
      <c r="F120" t="s">
        <v>101</v>
      </c>
      <c r="G120" t="s">
        <v>102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s="1">
        <f t="shared" si="1"/>
        <v>0</v>
      </c>
    </row>
    <row r="121" spans="1:37" x14ac:dyDescent="0.25">
      <c r="A121">
        <v>202607</v>
      </c>
      <c r="B121" t="s">
        <v>83</v>
      </c>
      <c r="D121" t="s">
        <v>183</v>
      </c>
      <c r="E121" s="1" t="str">
        <f>VLOOKUP(D121,[1]Sheet1!$B$2:$C$735,2,0)</f>
        <v>财新网</v>
      </c>
      <c r="F121" t="s">
        <v>80</v>
      </c>
      <c r="G121" t="s">
        <v>184</v>
      </c>
      <c r="H121">
        <v>2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2</v>
      </c>
      <c r="V121">
        <v>2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0</v>
      </c>
      <c r="AI121">
        <v>0</v>
      </c>
      <c r="AJ121">
        <v>0</v>
      </c>
      <c r="AK121" s="1">
        <f t="shared" si="1"/>
        <v>2</v>
      </c>
    </row>
    <row r="122" spans="1:37" x14ac:dyDescent="0.25">
      <c r="A122">
        <v>202607</v>
      </c>
      <c r="B122" t="s">
        <v>83</v>
      </c>
      <c r="D122" t="s">
        <v>185</v>
      </c>
      <c r="E122" s="1" t="str">
        <f>VLOOKUP(D122,[1]Sheet1!$B$2:$C$735,2,0)</f>
        <v>TOUTIAO</v>
      </c>
      <c r="F122" t="s">
        <v>80</v>
      </c>
      <c r="G122" t="s">
        <v>81</v>
      </c>
      <c r="H122">
        <v>2</v>
      </c>
      <c r="I122">
        <v>0</v>
      </c>
      <c r="J122">
        <v>2</v>
      </c>
      <c r="K122">
        <v>0</v>
      </c>
      <c r="L122">
        <v>1</v>
      </c>
      <c r="M122">
        <v>2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s="1">
        <f t="shared" si="1"/>
        <v>0</v>
      </c>
    </row>
    <row r="123" spans="1:37" x14ac:dyDescent="0.25">
      <c r="A123">
        <v>202607</v>
      </c>
      <c r="B123" t="s">
        <v>83</v>
      </c>
      <c r="D123" t="s">
        <v>186</v>
      </c>
      <c r="E123" s="1" t="str">
        <f>VLOOKUP(D123,[1]Sheet1!$B$2:$C$735,2,0)</f>
        <v>美团网</v>
      </c>
      <c r="F123" t="s">
        <v>62</v>
      </c>
      <c r="G123" t="s">
        <v>187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s="1">
        <f t="shared" si="1"/>
        <v>0</v>
      </c>
    </row>
  </sheetData>
  <autoFilter ref="A1:AM123" xr:uid="{FD28B054-0F1A-43D3-B97C-412D80889CC8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1D82-7B26-4B43-9104-5429703C4A7D}">
  <dimension ref="A3:AB29"/>
  <sheetViews>
    <sheetView workbookViewId="0">
      <pane xSplit="2" ySplit="4" topLeftCell="I5" activePane="bottomRight" state="frozen"/>
      <selection pane="topRight" activeCell="C1" sqref="C1"/>
      <selection pane="bottomLeft" activeCell="A5" sqref="A5"/>
      <selection pane="bottomRight" activeCell="W12" sqref="W12"/>
    </sheetView>
  </sheetViews>
  <sheetFormatPr defaultRowHeight="14" outlineLevelCol="1" x14ac:dyDescent="0.25"/>
  <cols>
    <col min="2" max="2" width="22.6328125" customWidth="1"/>
    <col min="3" max="3" width="18.08984375" customWidth="1"/>
    <col min="4" max="4" width="15.7265625" bestFit="1" customWidth="1" outlineLevel="1"/>
    <col min="5" max="5" width="20" bestFit="1" customWidth="1" outlineLevel="1"/>
    <col min="6" max="6" width="15.7265625" bestFit="1" customWidth="1" outlineLevel="1"/>
    <col min="7" max="7" width="20" bestFit="1" customWidth="1" outlineLevel="1"/>
    <col min="8" max="8" width="17.90625" bestFit="1" customWidth="1" outlineLevel="1"/>
    <col min="9" max="9" width="15.7265625" bestFit="1" customWidth="1" outlineLevel="1"/>
    <col min="10" max="10" width="19.54296875" customWidth="1" outlineLevel="1"/>
    <col min="11" max="11" width="17.90625" bestFit="1" customWidth="1" outlineLevel="1"/>
    <col min="12" max="12" width="21.08984375" bestFit="1" customWidth="1" outlineLevel="1"/>
    <col min="13" max="13" width="16.81640625" bestFit="1" customWidth="1" outlineLevel="1"/>
    <col min="14" max="15" width="20" bestFit="1" customWidth="1" outlineLevel="1"/>
    <col min="16" max="16" width="17.90625" bestFit="1" customWidth="1" outlineLevel="1"/>
  </cols>
  <sheetData>
    <row r="3" spans="1:28" x14ac:dyDescent="0.25">
      <c r="A3" s="7"/>
      <c r="B3" s="7"/>
      <c r="C3" s="16" t="s">
        <v>33</v>
      </c>
      <c r="D3" s="16"/>
      <c r="E3" s="16"/>
      <c r="F3" s="16"/>
      <c r="G3" s="16"/>
      <c r="H3" s="16"/>
      <c r="I3" s="16"/>
      <c r="J3" s="16" t="s">
        <v>83</v>
      </c>
      <c r="K3" s="16"/>
      <c r="L3" s="16"/>
      <c r="M3" s="16"/>
      <c r="N3" s="16"/>
      <c r="O3" s="16"/>
      <c r="P3" s="16"/>
      <c r="Q3" s="13" t="s">
        <v>33</v>
      </c>
      <c r="R3" s="13"/>
      <c r="S3" s="13"/>
      <c r="T3" s="13"/>
      <c r="U3" s="13"/>
      <c r="V3" s="13"/>
      <c r="W3" s="13" t="s">
        <v>83</v>
      </c>
      <c r="X3" s="13"/>
      <c r="Y3" s="13"/>
      <c r="Z3" s="13"/>
      <c r="AA3" s="13"/>
      <c r="AB3" s="13"/>
    </row>
    <row r="4" spans="1:28" s="12" customFormat="1" ht="56" x14ac:dyDescent="0.25">
      <c r="A4" s="11" t="s">
        <v>2</v>
      </c>
      <c r="B4" s="11" t="s">
        <v>191</v>
      </c>
      <c r="C4" s="11" t="s">
        <v>227</v>
      </c>
      <c r="D4" s="11" t="s">
        <v>7</v>
      </c>
      <c r="E4" s="11" t="s">
        <v>8</v>
      </c>
      <c r="F4" s="11" t="s">
        <v>9</v>
      </c>
      <c r="G4" s="11" t="s">
        <v>228</v>
      </c>
      <c r="H4" s="11" t="s">
        <v>23</v>
      </c>
      <c r="I4" s="11" t="s">
        <v>221</v>
      </c>
      <c r="J4" s="11" t="s">
        <v>227</v>
      </c>
      <c r="K4" s="11" t="s">
        <v>7</v>
      </c>
      <c r="L4" s="11" t="s">
        <v>8</v>
      </c>
      <c r="M4" s="11" t="s">
        <v>9</v>
      </c>
      <c r="N4" s="11" t="s">
        <v>22</v>
      </c>
      <c r="O4" s="11" t="s">
        <v>23</v>
      </c>
      <c r="P4" s="11" t="s">
        <v>221</v>
      </c>
      <c r="Q4" s="14" t="s">
        <v>7</v>
      </c>
      <c r="R4" s="14" t="s">
        <v>8</v>
      </c>
      <c r="S4" s="14" t="s">
        <v>9</v>
      </c>
      <c r="T4" s="14" t="s">
        <v>22</v>
      </c>
      <c r="U4" s="14" t="s">
        <v>23</v>
      </c>
      <c r="V4" s="14" t="s">
        <v>221</v>
      </c>
      <c r="W4" s="14" t="s">
        <v>7</v>
      </c>
      <c r="X4" s="14" t="s">
        <v>8</v>
      </c>
      <c r="Y4" s="14" t="s">
        <v>9</v>
      </c>
      <c r="Z4" s="14" t="s">
        <v>22</v>
      </c>
      <c r="AA4" s="14" t="s">
        <v>23</v>
      </c>
      <c r="AB4" s="14" t="s">
        <v>221</v>
      </c>
    </row>
    <row r="5" spans="1:28" x14ac:dyDescent="0.25">
      <c r="A5" s="8">
        <v>1</v>
      </c>
      <c r="B5" t="s">
        <v>193</v>
      </c>
      <c r="C5" s="9">
        <f t="shared" ref="C5:C29" si="0">SUM(D5:F5)</f>
        <v>544797192</v>
      </c>
      <c r="D5" s="10">
        <v>0</v>
      </c>
      <c r="E5" s="10">
        <v>544797192</v>
      </c>
      <c r="F5" s="10">
        <v>0</v>
      </c>
      <c r="G5" s="10">
        <v>522752445</v>
      </c>
      <c r="H5" s="10">
        <v>22044735</v>
      </c>
      <c r="I5" s="10">
        <v>12</v>
      </c>
      <c r="J5" s="9">
        <f t="shared" ref="J5:J29" si="1">SUM(K5:M5)</f>
        <v>544797192</v>
      </c>
      <c r="K5" s="10">
        <v>0</v>
      </c>
      <c r="L5" s="10">
        <v>544797192</v>
      </c>
      <c r="M5" s="10">
        <v>0</v>
      </c>
      <c r="N5" s="10">
        <v>522752445</v>
      </c>
      <c r="O5" s="10">
        <v>22044735</v>
      </c>
      <c r="P5" s="10">
        <v>12</v>
      </c>
      <c r="Q5" s="15">
        <f t="shared" ref="Q5:Q29" si="2">D5/$C5</f>
        <v>0</v>
      </c>
      <c r="R5" s="15">
        <f t="shared" ref="R5:R29" si="3">E5/$C5</f>
        <v>1</v>
      </c>
      <c r="S5" s="15">
        <f t="shared" ref="S5:S29" si="4">F5/$C5</f>
        <v>0</v>
      </c>
      <c r="T5" s="15">
        <f t="shared" ref="T5:T29" si="5">G5/$C5</f>
        <v>0.95953586522890888</v>
      </c>
      <c r="U5" s="15">
        <f t="shared" ref="U5:U29" si="6">H5/$C5</f>
        <v>4.0464112744545866E-2</v>
      </c>
      <c r="V5" s="15">
        <f t="shared" ref="V5:V29" si="7">I5/$C5</f>
        <v>2.2026545246951274E-8</v>
      </c>
      <c r="W5" s="15">
        <f t="shared" ref="W5:W29" si="8">K5/$J5</f>
        <v>0</v>
      </c>
      <c r="X5" s="15">
        <f t="shared" ref="X5:X29" si="9">L5/$J5</f>
        <v>1</v>
      </c>
      <c r="Y5" s="15">
        <f t="shared" ref="Y5:Y29" si="10">M5/$J5</f>
        <v>0</v>
      </c>
      <c r="Z5" s="15">
        <f t="shared" ref="Z5:Z29" si="11">N5/$J5</f>
        <v>0.95953586522890888</v>
      </c>
      <c r="AA5" s="15">
        <f t="shared" ref="AA5:AA29" si="12">O5/$J5</f>
        <v>4.0464112744545866E-2</v>
      </c>
      <c r="AB5" s="15">
        <f t="shared" ref="AB5:AB29" si="13">P5/$J5</f>
        <v>2.2026545246951274E-8</v>
      </c>
    </row>
    <row r="6" spans="1:28" x14ac:dyDescent="0.25">
      <c r="A6" s="8">
        <v>2</v>
      </c>
      <c r="B6" t="s">
        <v>199</v>
      </c>
      <c r="C6" s="9">
        <f t="shared" si="0"/>
        <v>212000777</v>
      </c>
      <c r="D6" s="10">
        <v>0</v>
      </c>
      <c r="E6" s="10">
        <v>212000777</v>
      </c>
      <c r="F6" s="10">
        <v>0</v>
      </c>
      <c r="G6" s="10">
        <v>211548700</v>
      </c>
      <c r="H6" s="10">
        <v>452077</v>
      </c>
      <c r="I6" s="10">
        <v>0</v>
      </c>
      <c r="J6" s="9">
        <f t="shared" si="1"/>
        <v>1370320327</v>
      </c>
      <c r="K6" s="10">
        <v>5</v>
      </c>
      <c r="L6" s="10">
        <v>1370312137</v>
      </c>
      <c r="M6" s="10">
        <v>8185</v>
      </c>
      <c r="N6" s="10">
        <v>1364065340</v>
      </c>
      <c r="O6" s="10">
        <v>6243020</v>
      </c>
      <c r="P6" s="10">
        <v>11967</v>
      </c>
      <c r="Q6" s="15">
        <f t="shared" si="2"/>
        <v>0</v>
      </c>
      <c r="R6" s="15">
        <f t="shared" si="3"/>
        <v>1</v>
      </c>
      <c r="S6" s="15">
        <f t="shared" si="4"/>
        <v>0</v>
      </c>
      <c r="T6" s="15">
        <f t="shared" si="5"/>
        <v>0.99786756913631502</v>
      </c>
      <c r="U6" s="15">
        <f t="shared" si="6"/>
        <v>2.1324308636849949E-3</v>
      </c>
      <c r="V6" s="15">
        <f t="shared" si="7"/>
        <v>0</v>
      </c>
      <c r="W6" s="15">
        <f t="shared" si="8"/>
        <v>3.6487818953589821E-9</v>
      </c>
      <c r="X6" s="15">
        <f t="shared" si="9"/>
        <v>0.99999402329525544</v>
      </c>
      <c r="Y6" s="15">
        <f t="shared" si="10"/>
        <v>5.9730559627026534E-6</v>
      </c>
      <c r="Z6" s="15">
        <f t="shared" si="11"/>
        <v>0.99543538333573889</v>
      </c>
      <c r="AA6" s="15">
        <f t="shared" si="12"/>
        <v>4.5558836696728061E-3</v>
      </c>
      <c r="AB6" s="15">
        <f t="shared" si="13"/>
        <v>8.7329945883521882E-6</v>
      </c>
    </row>
    <row r="7" spans="1:28" x14ac:dyDescent="0.25">
      <c r="A7" s="8">
        <v>3</v>
      </c>
      <c r="B7" t="s">
        <v>200</v>
      </c>
      <c r="C7" s="9">
        <f t="shared" si="0"/>
        <v>206167085</v>
      </c>
      <c r="D7" s="10">
        <v>0</v>
      </c>
      <c r="E7" s="10">
        <v>206167085</v>
      </c>
      <c r="F7" s="10">
        <v>0</v>
      </c>
      <c r="G7" s="10">
        <v>206167085</v>
      </c>
      <c r="H7" s="10">
        <v>0</v>
      </c>
      <c r="I7" s="10">
        <v>0</v>
      </c>
      <c r="J7" s="9">
        <f t="shared" si="1"/>
        <v>1359163835</v>
      </c>
      <c r="K7" s="10">
        <v>0</v>
      </c>
      <c r="L7" s="10">
        <v>1359163835</v>
      </c>
      <c r="M7" s="10">
        <v>0</v>
      </c>
      <c r="N7" s="10">
        <v>1359045810</v>
      </c>
      <c r="O7" s="10">
        <v>117788</v>
      </c>
      <c r="P7" s="10">
        <v>237</v>
      </c>
      <c r="Q7" s="15">
        <f t="shared" si="2"/>
        <v>0</v>
      </c>
      <c r="R7" s="15">
        <f t="shared" si="3"/>
        <v>1</v>
      </c>
      <c r="S7" s="15">
        <f t="shared" si="4"/>
        <v>0</v>
      </c>
      <c r="T7" s="15">
        <f t="shared" si="5"/>
        <v>1</v>
      </c>
      <c r="U7" s="15">
        <f t="shared" si="6"/>
        <v>0</v>
      </c>
      <c r="V7" s="15">
        <f t="shared" si="7"/>
        <v>0</v>
      </c>
      <c r="W7" s="15">
        <f t="shared" si="8"/>
        <v>0</v>
      </c>
      <c r="X7" s="15">
        <f t="shared" si="9"/>
        <v>1</v>
      </c>
      <c r="Y7" s="15">
        <f t="shared" si="10"/>
        <v>0</v>
      </c>
      <c r="Z7" s="15">
        <f t="shared" si="11"/>
        <v>0.99991316352233572</v>
      </c>
      <c r="AA7" s="15">
        <f t="shared" si="12"/>
        <v>8.6662105749745757E-5</v>
      </c>
      <c r="AB7" s="15">
        <f t="shared" si="13"/>
        <v>1.7437191447931662E-7</v>
      </c>
    </row>
    <row r="8" spans="1:28" x14ac:dyDescent="0.25">
      <c r="A8" s="8">
        <v>4</v>
      </c>
      <c r="B8" t="s">
        <v>201</v>
      </c>
      <c r="C8" s="9">
        <f t="shared" si="0"/>
        <v>188845799</v>
      </c>
      <c r="D8" s="10">
        <v>0</v>
      </c>
      <c r="E8" s="10">
        <v>188845799</v>
      </c>
      <c r="F8" s="10">
        <v>0</v>
      </c>
      <c r="G8" s="10">
        <v>146948661</v>
      </c>
      <c r="H8" s="10">
        <v>41885448</v>
      </c>
      <c r="I8" s="10">
        <v>11690</v>
      </c>
      <c r="J8" s="9">
        <f t="shared" si="1"/>
        <v>1636799858</v>
      </c>
      <c r="K8" s="10">
        <v>0</v>
      </c>
      <c r="L8" s="10">
        <v>1636799858</v>
      </c>
      <c r="M8" s="10">
        <v>0</v>
      </c>
      <c r="N8" s="10">
        <v>1332126250</v>
      </c>
      <c r="O8" s="10">
        <v>304587019</v>
      </c>
      <c r="P8" s="10">
        <v>86589</v>
      </c>
      <c r="Q8" s="15">
        <f t="shared" si="2"/>
        <v>0</v>
      </c>
      <c r="R8" s="15">
        <f t="shared" si="3"/>
        <v>1</v>
      </c>
      <c r="S8" s="15">
        <f t="shared" si="4"/>
        <v>0</v>
      </c>
      <c r="T8" s="15">
        <f t="shared" si="5"/>
        <v>0.77814101122789603</v>
      </c>
      <c r="U8" s="15">
        <f t="shared" si="6"/>
        <v>0.22179708641546217</v>
      </c>
      <c r="V8" s="15">
        <f t="shared" si="7"/>
        <v>6.1902356641780525E-5</v>
      </c>
      <c r="W8" s="15">
        <f t="shared" si="8"/>
        <v>0</v>
      </c>
      <c r="X8" s="15">
        <f t="shared" si="9"/>
        <v>1</v>
      </c>
      <c r="Y8" s="15">
        <f t="shared" si="10"/>
        <v>0</v>
      </c>
      <c r="Z8" s="15">
        <f t="shared" si="11"/>
        <v>0.8138601940176855</v>
      </c>
      <c r="AA8" s="15">
        <f t="shared" si="12"/>
        <v>0.18608690458476324</v>
      </c>
      <c r="AB8" s="15">
        <f t="shared" si="13"/>
        <v>5.2901397551318702E-5</v>
      </c>
    </row>
    <row r="9" spans="1:28" x14ac:dyDescent="0.25">
      <c r="A9" s="8">
        <v>5</v>
      </c>
      <c r="B9" t="s">
        <v>202</v>
      </c>
      <c r="C9" s="9">
        <f t="shared" si="0"/>
        <v>174015915</v>
      </c>
      <c r="D9" s="10">
        <v>163</v>
      </c>
      <c r="E9" s="10">
        <v>171773962</v>
      </c>
      <c r="F9" s="10">
        <v>2241790</v>
      </c>
      <c r="G9" s="10">
        <v>156033142</v>
      </c>
      <c r="H9" s="10">
        <v>16302503</v>
      </c>
      <c r="I9" s="10">
        <v>1680270</v>
      </c>
      <c r="J9" s="9">
        <f t="shared" si="1"/>
        <v>849598929</v>
      </c>
      <c r="K9" s="10">
        <v>1242</v>
      </c>
      <c r="L9" s="10">
        <v>769289821</v>
      </c>
      <c r="M9" s="10">
        <v>80307866</v>
      </c>
      <c r="N9" s="10">
        <v>787691211</v>
      </c>
      <c r="O9" s="10">
        <v>52812081</v>
      </c>
      <c r="P9" s="10">
        <v>9095637</v>
      </c>
      <c r="Q9" s="15">
        <f t="shared" si="2"/>
        <v>9.3669593381731779E-7</v>
      </c>
      <c r="R9" s="15">
        <f t="shared" si="3"/>
        <v>0.98711639104963478</v>
      </c>
      <c r="S9" s="15">
        <f t="shared" si="4"/>
        <v>1.2882672254431441E-2</v>
      </c>
      <c r="T9" s="15">
        <f t="shared" si="5"/>
        <v>0.89666018191497021</v>
      </c>
      <c r="U9" s="15">
        <f t="shared" si="6"/>
        <v>9.3683977123586656E-2</v>
      </c>
      <c r="V9" s="15">
        <f t="shared" si="7"/>
        <v>9.6558409614430959E-3</v>
      </c>
      <c r="W9" s="15">
        <f t="shared" si="8"/>
        <v>1.4618662495983443E-6</v>
      </c>
      <c r="X9" s="15">
        <f t="shared" si="9"/>
        <v>0.90547409458893047</v>
      </c>
      <c r="Y9" s="15">
        <f t="shared" si="10"/>
        <v>9.4524443544819953E-2</v>
      </c>
      <c r="Z9" s="15">
        <f t="shared" si="11"/>
        <v>0.92713300842685031</v>
      </c>
      <c r="AA9" s="15">
        <f t="shared" si="12"/>
        <v>6.2161190648111091E-2</v>
      </c>
      <c r="AB9" s="15">
        <f t="shared" si="13"/>
        <v>1.0705800925038596E-2</v>
      </c>
    </row>
    <row r="10" spans="1:28" x14ac:dyDescent="0.25">
      <c r="A10" s="8">
        <v>6</v>
      </c>
      <c r="B10" t="s">
        <v>203</v>
      </c>
      <c r="C10" s="9">
        <f t="shared" si="0"/>
        <v>138610928</v>
      </c>
      <c r="D10" s="10">
        <v>5</v>
      </c>
      <c r="E10" s="10">
        <v>138610923</v>
      </c>
      <c r="F10" s="10">
        <v>0</v>
      </c>
      <c r="G10" s="10">
        <v>138523795</v>
      </c>
      <c r="H10" s="10">
        <v>71661</v>
      </c>
      <c r="I10" s="10">
        <v>15472</v>
      </c>
      <c r="J10" s="9">
        <f t="shared" si="1"/>
        <v>973425115</v>
      </c>
      <c r="K10" s="10">
        <v>144</v>
      </c>
      <c r="L10" s="10">
        <v>973424971</v>
      </c>
      <c r="M10" s="10">
        <v>0</v>
      </c>
      <c r="N10" s="10">
        <v>971646831</v>
      </c>
      <c r="O10" s="10">
        <v>1684325</v>
      </c>
      <c r="P10" s="10">
        <v>93959</v>
      </c>
      <c r="Q10" s="15">
        <f t="shared" si="2"/>
        <v>3.6072191941460774E-8</v>
      </c>
      <c r="R10" s="15">
        <f t="shared" si="3"/>
        <v>0.9999999639278081</v>
      </c>
      <c r="S10" s="15">
        <f t="shared" si="4"/>
        <v>0</v>
      </c>
      <c r="T10" s="15">
        <f t="shared" si="5"/>
        <v>0.9993713843399129</v>
      </c>
      <c r="U10" s="15">
        <f t="shared" si="6"/>
        <v>5.1699386934340411E-4</v>
      </c>
      <c r="V10" s="15">
        <f t="shared" si="7"/>
        <v>1.1162179074365623E-4</v>
      </c>
      <c r="W10" s="15">
        <f t="shared" si="8"/>
        <v>1.4793125611927529E-7</v>
      </c>
      <c r="X10" s="15">
        <f t="shared" si="9"/>
        <v>0.99999985206874387</v>
      </c>
      <c r="Y10" s="15">
        <f t="shared" si="10"/>
        <v>0</v>
      </c>
      <c r="Z10" s="15">
        <f t="shared" si="11"/>
        <v>0.99817316815377211</v>
      </c>
      <c r="AA10" s="15">
        <f t="shared" si="12"/>
        <v>1.7303077289104053E-3</v>
      </c>
      <c r="AB10" s="15">
        <f t="shared" si="13"/>
        <v>9.6524117317437408E-5</v>
      </c>
    </row>
    <row r="11" spans="1:28" x14ac:dyDescent="0.25">
      <c r="A11" s="8">
        <v>7</v>
      </c>
      <c r="B11" t="s">
        <v>204</v>
      </c>
      <c r="C11" s="9">
        <f t="shared" si="0"/>
        <v>71897379</v>
      </c>
      <c r="D11" s="10">
        <v>0</v>
      </c>
      <c r="E11" s="10">
        <v>71897379</v>
      </c>
      <c r="F11" s="10">
        <v>0</v>
      </c>
      <c r="G11" s="10">
        <v>71895704</v>
      </c>
      <c r="H11" s="10">
        <v>1417</v>
      </c>
      <c r="I11" s="10">
        <v>258</v>
      </c>
      <c r="J11" s="9">
        <f t="shared" si="1"/>
        <v>1004657427</v>
      </c>
      <c r="K11" s="10">
        <v>493379996</v>
      </c>
      <c r="L11" s="10">
        <v>511277361</v>
      </c>
      <c r="M11" s="10">
        <v>70</v>
      </c>
      <c r="N11" s="10">
        <v>129496904</v>
      </c>
      <c r="O11" s="10">
        <v>18292961</v>
      </c>
      <c r="P11" s="10">
        <v>856867562</v>
      </c>
      <c r="Q11" s="15">
        <f t="shared" si="2"/>
        <v>0</v>
      </c>
      <c r="R11" s="15">
        <f t="shared" si="3"/>
        <v>1</v>
      </c>
      <c r="S11" s="15">
        <f t="shared" si="4"/>
        <v>0</v>
      </c>
      <c r="T11" s="15">
        <f t="shared" si="5"/>
        <v>0.99997670290595708</v>
      </c>
      <c r="U11" s="15">
        <f t="shared" si="6"/>
        <v>1.9708646124638285E-5</v>
      </c>
      <c r="V11" s="15">
        <f t="shared" si="7"/>
        <v>3.5884479182474787E-6</v>
      </c>
      <c r="W11" s="15">
        <f t="shared" si="8"/>
        <v>0.49109276728613682</v>
      </c>
      <c r="X11" s="15">
        <f t="shared" si="9"/>
        <v>0.50890716303837169</v>
      </c>
      <c r="Y11" s="15">
        <f t="shared" si="10"/>
        <v>6.9675491484720786E-8</v>
      </c>
      <c r="Z11" s="15">
        <f t="shared" si="11"/>
        <v>0.1288965775992815</v>
      </c>
      <c r="AA11" s="15">
        <f t="shared" si="12"/>
        <v>1.8208157834083281E-2</v>
      </c>
      <c r="AB11" s="15">
        <f t="shared" si="13"/>
        <v>0.85289526456663523</v>
      </c>
    </row>
    <row r="12" spans="1:28" x14ac:dyDescent="0.25">
      <c r="A12" s="8">
        <v>8</v>
      </c>
      <c r="B12" t="s">
        <v>205</v>
      </c>
      <c r="C12" s="9">
        <f t="shared" si="0"/>
        <v>58698539</v>
      </c>
      <c r="D12" s="10">
        <v>122765</v>
      </c>
      <c r="E12" s="10">
        <v>58575774</v>
      </c>
      <c r="F12" s="10">
        <v>0</v>
      </c>
      <c r="G12" s="10">
        <v>18179832</v>
      </c>
      <c r="H12" s="10">
        <v>40455190</v>
      </c>
      <c r="I12" s="10">
        <v>63517</v>
      </c>
      <c r="J12" s="9">
        <f t="shared" si="1"/>
        <v>146505941</v>
      </c>
      <c r="K12" s="10">
        <v>270020</v>
      </c>
      <c r="L12" s="10">
        <v>146235921</v>
      </c>
      <c r="M12" s="10">
        <v>0</v>
      </c>
      <c r="N12" s="10">
        <v>47898388</v>
      </c>
      <c r="O12" s="10">
        <v>98465446</v>
      </c>
      <c r="P12" s="10">
        <v>142107</v>
      </c>
      <c r="Q12" s="15">
        <f t="shared" si="2"/>
        <v>2.0914489881937266E-3</v>
      </c>
      <c r="R12" s="15">
        <f t="shared" si="3"/>
        <v>0.99790855101180631</v>
      </c>
      <c r="S12" s="15">
        <f t="shared" si="4"/>
        <v>0</v>
      </c>
      <c r="T12" s="15">
        <f t="shared" si="5"/>
        <v>0.30971523839801191</v>
      </c>
      <c r="U12" s="15">
        <f t="shared" si="6"/>
        <v>0.68920267334081342</v>
      </c>
      <c r="V12" s="15">
        <f t="shared" si="7"/>
        <v>1.0820882611746094E-3</v>
      </c>
      <c r="W12" s="15">
        <f t="shared" si="8"/>
        <v>1.8430651901003795E-3</v>
      </c>
      <c r="X12" s="15">
        <f t="shared" si="9"/>
        <v>0.99815693480989964</v>
      </c>
      <c r="Y12" s="15">
        <f t="shared" si="10"/>
        <v>0</v>
      </c>
      <c r="Z12" s="15">
        <f t="shared" si="11"/>
        <v>0.32693819563262627</v>
      </c>
      <c r="AA12" s="15">
        <f t="shared" si="12"/>
        <v>0.67209183005076911</v>
      </c>
      <c r="AB12" s="15">
        <f t="shared" si="13"/>
        <v>9.6997431660467614E-4</v>
      </c>
    </row>
    <row r="13" spans="1:28" x14ac:dyDescent="0.25">
      <c r="A13" s="8">
        <v>9</v>
      </c>
      <c r="B13" t="s">
        <v>229</v>
      </c>
      <c r="C13" s="9">
        <f t="shared" si="0"/>
        <v>54873019</v>
      </c>
      <c r="D13" s="10">
        <v>154</v>
      </c>
      <c r="E13" s="10">
        <v>54872865</v>
      </c>
      <c r="F13" s="10">
        <v>0</v>
      </c>
      <c r="G13" s="10">
        <v>3923920</v>
      </c>
      <c r="H13" s="10">
        <v>50890354</v>
      </c>
      <c r="I13" s="10">
        <v>58745</v>
      </c>
      <c r="J13" s="9">
        <f t="shared" si="1"/>
        <v>224281335</v>
      </c>
      <c r="K13" s="10">
        <v>57313</v>
      </c>
      <c r="L13" s="10">
        <v>224222869</v>
      </c>
      <c r="M13" s="10">
        <v>1153</v>
      </c>
      <c r="N13" s="10">
        <v>17595586</v>
      </c>
      <c r="O13" s="10">
        <v>206493025</v>
      </c>
      <c r="P13" s="10">
        <v>192724</v>
      </c>
      <c r="Q13" s="15">
        <f t="shared" si="2"/>
        <v>2.8064794466657648E-6</v>
      </c>
      <c r="R13" s="15">
        <f t="shared" si="3"/>
        <v>0.99999719352055338</v>
      </c>
      <c r="S13" s="15">
        <f t="shared" si="4"/>
        <v>0</v>
      </c>
      <c r="T13" s="15">
        <f t="shared" si="5"/>
        <v>7.1509096301043684E-2</v>
      </c>
      <c r="U13" s="15">
        <f t="shared" si="6"/>
        <v>0.92742034113340843</v>
      </c>
      <c r="V13" s="15">
        <f t="shared" si="7"/>
        <v>1.0705625655479244E-3</v>
      </c>
      <c r="W13" s="15">
        <f t="shared" si="8"/>
        <v>2.5554065834323665E-4</v>
      </c>
      <c r="X13" s="15">
        <f t="shared" si="9"/>
        <v>0.99973931847694775</v>
      </c>
      <c r="Y13" s="15">
        <f t="shared" si="10"/>
        <v>5.1408647090494625E-6</v>
      </c>
      <c r="Z13" s="15">
        <f t="shared" si="11"/>
        <v>7.8453189160836767E-2</v>
      </c>
      <c r="AA13" s="15">
        <f t="shared" si="12"/>
        <v>0.92068751508011137</v>
      </c>
      <c r="AB13" s="15">
        <f t="shared" si="13"/>
        <v>8.5929575905190688E-4</v>
      </c>
    </row>
    <row r="14" spans="1:28" x14ac:dyDescent="0.25">
      <c r="A14" s="8">
        <v>10</v>
      </c>
      <c r="B14" t="s">
        <v>206</v>
      </c>
      <c r="C14" s="9">
        <f t="shared" si="0"/>
        <v>52326337</v>
      </c>
      <c r="D14" s="10">
        <v>0</v>
      </c>
      <c r="E14" s="10">
        <v>52326337</v>
      </c>
      <c r="F14" s="10">
        <v>0</v>
      </c>
      <c r="G14" s="10">
        <v>42014888</v>
      </c>
      <c r="H14" s="10">
        <v>10311449</v>
      </c>
      <c r="I14" s="10">
        <v>0</v>
      </c>
      <c r="J14" s="9">
        <f t="shared" si="1"/>
        <v>1235026687</v>
      </c>
      <c r="K14" s="10">
        <v>247</v>
      </c>
      <c r="L14" s="10">
        <v>1235026438</v>
      </c>
      <c r="M14" s="10">
        <v>2</v>
      </c>
      <c r="N14" s="10">
        <v>239386349</v>
      </c>
      <c r="O14" s="10">
        <v>992257860</v>
      </c>
      <c r="P14" s="10">
        <v>3382478</v>
      </c>
      <c r="Q14" s="15">
        <f t="shared" si="2"/>
        <v>0</v>
      </c>
      <c r="R14" s="15">
        <f t="shared" si="3"/>
        <v>1</v>
      </c>
      <c r="S14" s="15">
        <f t="shared" si="4"/>
        <v>0</v>
      </c>
      <c r="T14" s="15">
        <f t="shared" si="5"/>
        <v>0.80293959808423054</v>
      </c>
      <c r="U14" s="15">
        <f t="shared" si="6"/>
        <v>0.19706040191576948</v>
      </c>
      <c r="V14" s="15">
        <f t="shared" si="7"/>
        <v>0</v>
      </c>
      <c r="W14" s="15">
        <f t="shared" si="8"/>
        <v>1.9999567831201045E-7</v>
      </c>
      <c r="X14" s="15">
        <f t="shared" si="9"/>
        <v>0.99999979838492348</v>
      </c>
      <c r="Y14" s="15">
        <f t="shared" si="10"/>
        <v>1.61939820495555E-9</v>
      </c>
      <c r="Z14" s="15">
        <f t="shared" si="11"/>
        <v>0.19383091193073143</v>
      </c>
      <c r="AA14" s="15">
        <f t="shared" si="12"/>
        <v>0.80343029866851778</v>
      </c>
      <c r="AB14" s="15">
        <f t="shared" si="13"/>
        <v>2.7387894007508194E-3</v>
      </c>
    </row>
    <row r="15" spans="1:28" x14ac:dyDescent="0.25">
      <c r="A15" s="8">
        <v>11</v>
      </c>
      <c r="B15" t="s">
        <v>207</v>
      </c>
      <c r="C15" s="9">
        <f t="shared" si="0"/>
        <v>42124152</v>
      </c>
      <c r="D15" s="10">
        <v>0</v>
      </c>
      <c r="E15" s="10">
        <v>42124152</v>
      </c>
      <c r="F15" s="10">
        <v>0</v>
      </c>
      <c r="G15" s="10">
        <v>40569633</v>
      </c>
      <c r="H15" s="10">
        <v>1553352</v>
      </c>
      <c r="I15" s="10">
        <v>1167</v>
      </c>
      <c r="J15" s="9">
        <f t="shared" si="1"/>
        <v>141857276</v>
      </c>
      <c r="K15" s="10">
        <v>4</v>
      </c>
      <c r="L15" s="10">
        <v>141857272</v>
      </c>
      <c r="M15" s="10">
        <v>0</v>
      </c>
      <c r="N15" s="10">
        <v>137518861</v>
      </c>
      <c r="O15" s="10">
        <v>4329195</v>
      </c>
      <c r="P15" s="10">
        <v>9220</v>
      </c>
      <c r="Q15" s="15">
        <f t="shared" si="2"/>
        <v>0</v>
      </c>
      <c r="R15" s="15">
        <f t="shared" si="3"/>
        <v>1</v>
      </c>
      <c r="S15" s="15">
        <f t="shared" si="4"/>
        <v>0</v>
      </c>
      <c r="T15" s="15">
        <f t="shared" si="5"/>
        <v>0.96309672892643627</v>
      </c>
      <c r="U15" s="15">
        <f t="shared" si="6"/>
        <v>3.6875567251775182E-2</v>
      </c>
      <c r="V15" s="15">
        <f t="shared" si="7"/>
        <v>2.7703821788507458E-5</v>
      </c>
      <c r="W15" s="15">
        <f t="shared" si="8"/>
        <v>2.8197355206510522E-8</v>
      </c>
      <c r="X15" s="15">
        <f t="shared" si="9"/>
        <v>0.99999997180264477</v>
      </c>
      <c r="Y15" s="15">
        <f t="shared" si="10"/>
        <v>0</v>
      </c>
      <c r="Z15" s="15">
        <f t="shared" si="11"/>
        <v>0.96941704280293661</v>
      </c>
      <c r="AA15" s="15">
        <f t="shared" si="12"/>
        <v>3.0517962293312328E-2</v>
      </c>
      <c r="AB15" s="15">
        <f t="shared" si="13"/>
        <v>6.4994903751006751E-5</v>
      </c>
    </row>
    <row r="16" spans="1:28" x14ac:dyDescent="0.25">
      <c r="A16" s="8">
        <v>12</v>
      </c>
      <c r="B16" t="s">
        <v>208</v>
      </c>
      <c r="C16" s="9">
        <f t="shared" si="0"/>
        <v>14101290</v>
      </c>
      <c r="D16" s="10">
        <v>0</v>
      </c>
      <c r="E16" s="10">
        <v>14101290</v>
      </c>
      <c r="F16" s="10">
        <v>0</v>
      </c>
      <c r="G16" s="10">
        <v>14037670</v>
      </c>
      <c r="H16" s="10">
        <v>63620</v>
      </c>
      <c r="I16" s="10">
        <v>0</v>
      </c>
      <c r="J16" s="9">
        <f t="shared" si="1"/>
        <v>46388614</v>
      </c>
      <c r="K16" s="10">
        <v>0</v>
      </c>
      <c r="L16" s="10">
        <v>46388614</v>
      </c>
      <c r="M16" s="10">
        <v>0</v>
      </c>
      <c r="N16" s="10">
        <v>46224410</v>
      </c>
      <c r="O16" s="10">
        <v>164204</v>
      </c>
      <c r="P16" s="10">
        <v>0</v>
      </c>
      <c r="Q16" s="15">
        <f t="shared" si="2"/>
        <v>0</v>
      </c>
      <c r="R16" s="15">
        <f t="shared" si="3"/>
        <v>1</v>
      </c>
      <c r="S16" s="15">
        <f t="shared" si="4"/>
        <v>0</v>
      </c>
      <c r="T16" s="15">
        <f t="shared" si="5"/>
        <v>0.99548835602983843</v>
      </c>
      <c r="U16" s="15">
        <f t="shared" si="6"/>
        <v>4.5116439701615952E-3</v>
      </c>
      <c r="V16" s="15">
        <f t="shared" si="7"/>
        <v>0</v>
      </c>
      <c r="W16" s="15">
        <f t="shared" si="8"/>
        <v>0</v>
      </c>
      <c r="X16" s="15">
        <f t="shared" si="9"/>
        <v>1</v>
      </c>
      <c r="Y16" s="15">
        <f t="shared" si="10"/>
        <v>0</v>
      </c>
      <c r="Z16" s="15">
        <f t="shared" si="11"/>
        <v>0.9964602520782363</v>
      </c>
      <c r="AA16" s="15">
        <f t="shared" si="12"/>
        <v>3.5397479217637328E-3</v>
      </c>
      <c r="AB16" s="15">
        <f t="shared" si="13"/>
        <v>0</v>
      </c>
    </row>
    <row r="17" spans="1:28" x14ac:dyDescent="0.25">
      <c r="A17" s="8">
        <v>13</v>
      </c>
      <c r="B17" t="s">
        <v>209</v>
      </c>
      <c r="C17" s="9">
        <f t="shared" si="0"/>
        <v>14042042</v>
      </c>
      <c r="D17" s="10">
        <v>55431</v>
      </c>
      <c r="E17" s="10">
        <v>13986610</v>
      </c>
      <c r="F17" s="10">
        <v>1</v>
      </c>
      <c r="G17" s="10">
        <v>4985946</v>
      </c>
      <c r="H17" s="10">
        <v>9031854</v>
      </c>
      <c r="I17" s="10">
        <v>24242</v>
      </c>
      <c r="J17" s="9">
        <f t="shared" si="1"/>
        <v>72389249</v>
      </c>
      <c r="K17" s="10">
        <v>236044</v>
      </c>
      <c r="L17" s="10">
        <v>72153202</v>
      </c>
      <c r="M17" s="10">
        <v>3</v>
      </c>
      <c r="N17" s="10">
        <v>31876947</v>
      </c>
      <c r="O17" s="10">
        <v>40405100</v>
      </c>
      <c r="P17" s="10">
        <v>107202</v>
      </c>
      <c r="Q17" s="15">
        <f t="shared" si="2"/>
        <v>3.9475027919728487E-3</v>
      </c>
      <c r="R17" s="15">
        <f t="shared" si="3"/>
        <v>0.99605242599331356</v>
      </c>
      <c r="S17" s="15">
        <f t="shared" si="4"/>
        <v>7.1214713643499993E-8</v>
      </c>
      <c r="T17" s="15">
        <f t="shared" si="5"/>
        <v>0.35507271663195422</v>
      </c>
      <c r="U17" s="15">
        <f t="shared" si="6"/>
        <v>0.64320089627990007</v>
      </c>
      <c r="V17" s="15">
        <f t="shared" si="7"/>
        <v>1.7263870881457268E-3</v>
      </c>
      <c r="W17" s="15">
        <f t="shared" si="8"/>
        <v>3.2607604480052003E-3</v>
      </c>
      <c r="X17" s="15">
        <f t="shared" si="9"/>
        <v>0.99673919810937672</v>
      </c>
      <c r="Y17" s="15">
        <f t="shared" si="10"/>
        <v>4.144261808821915E-8</v>
      </c>
      <c r="Z17" s="15">
        <f t="shared" si="11"/>
        <v>0.4403547134464677</v>
      </c>
      <c r="AA17" s="15">
        <f t="shared" si="12"/>
        <v>0.5581643760387679</v>
      </c>
      <c r="AB17" s="15">
        <f t="shared" si="13"/>
        <v>1.4809105147644231E-3</v>
      </c>
    </row>
    <row r="18" spans="1:28" x14ac:dyDescent="0.25">
      <c r="A18" s="8">
        <v>14</v>
      </c>
      <c r="B18" t="s">
        <v>210</v>
      </c>
      <c r="C18" s="9">
        <f t="shared" si="0"/>
        <v>12244898</v>
      </c>
      <c r="D18" s="10">
        <v>0</v>
      </c>
      <c r="E18" s="10">
        <v>12244898</v>
      </c>
      <c r="F18" s="10">
        <v>0</v>
      </c>
      <c r="G18" s="10">
        <v>12083777</v>
      </c>
      <c r="H18" s="10">
        <v>158920</v>
      </c>
      <c r="I18" s="10">
        <v>2201</v>
      </c>
      <c r="J18" s="9">
        <f t="shared" si="1"/>
        <v>572180129</v>
      </c>
      <c r="K18" s="10">
        <v>18</v>
      </c>
      <c r="L18" s="10">
        <v>572180089</v>
      </c>
      <c r="M18" s="10">
        <v>22</v>
      </c>
      <c r="N18" s="10">
        <v>558518128</v>
      </c>
      <c r="O18" s="10">
        <v>13444581</v>
      </c>
      <c r="P18" s="10">
        <v>217420</v>
      </c>
      <c r="Q18" s="15">
        <f t="shared" si="2"/>
        <v>0</v>
      </c>
      <c r="R18" s="15">
        <f t="shared" si="3"/>
        <v>1</v>
      </c>
      <c r="S18" s="15">
        <f t="shared" si="4"/>
        <v>0</v>
      </c>
      <c r="T18" s="15">
        <f t="shared" si="5"/>
        <v>0.98684178504386066</v>
      </c>
      <c r="U18" s="15">
        <f t="shared" si="6"/>
        <v>1.2978466623405112E-2</v>
      </c>
      <c r="V18" s="15">
        <f t="shared" si="7"/>
        <v>1.7974833273417222E-4</v>
      </c>
      <c r="W18" s="15">
        <f t="shared" si="8"/>
        <v>3.1458624806594777E-8</v>
      </c>
      <c r="X18" s="15">
        <f t="shared" si="9"/>
        <v>0.99999993009194488</v>
      </c>
      <c r="Y18" s="15">
        <f t="shared" si="10"/>
        <v>3.8449430319171392E-8</v>
      </c>
      <c r="Z18" s="15">
        <f t="shared" si="11"/>
        <v>0.97612290202409313</v>
      </c>
      <c r="AA18" s="15">
        <f t="shared" si="12"/>
        <v>2.3497112742270711E-2</v>
      </c>
      <c r="AB18" s="15">
        <f t="shared" si="13"/>
        <v>3.7998523363610206E-4</v>
      </c>
    </row>
    <row r="19" spans="1:28" x14ac:dyDescent="0.25">
      <c r="A19" s="8">
        <v>15</v>
      </c>
      <c r="B19" t="s">
        <v>211</v>
      </c>
      <c r="C19" s="9">
        <f t="shared" si="0"/>
        <v>8422727</v>
      </c>
      <c r="D19" s="10">
        <v>4806959</v>
      </c>
      <c r="E19" s="10">
        <v>3615768</v>
      </c>
      <c r="F19" s="10">
        <v>0</v>
      </c>
      <c r="G19" s="10">
        <v>8287731</v>
      </c>
      <c r="H19" s="10">
        <v>134996</v>
      </c>
      <c r="I19" s="10">
        <v>0</v>
      </c>
      <c r="J19" s="9">
        <f t="shared" si="1"/>
        <v>38783341</v>
      </c>
      <c r="K19" s="10">
        <v>11598622</v>
      </c>
      <c r="L19" s="10">
        <v>27184719</v>
      </c>
      <c r="M19" s="10">
        <v>0</v>
      </c>
      <c r="N19" s="10">
        <v>38469443</v>
      </c>
      <c r="O19" s="10">
        <v>313271</v>
      </c>
      <c r="P19" s="10">
        <v>627</v>
      </c>
      <c r="Q19" s="15">
        <f t="shared" si="2"/>
        <v>0.57071290568957056</v>
      </c>
      <c r="R19" s="15">
        <f t="shared" si="3"/>
        <v>0.42928709431042938</v>
      </c>
      <c r="S19" s="15">
        <f t="shared" si="4"/>
        <v>0</v>
      </c>
      <c r="T19" s="15">
        <f t="shared" si="5"/>
        <v>0.98397241178539918</v>
      </c>
      <c r="U19" s="15">
        <f t="shared" si="6"/>
        <v>1.6027588214600805E-2</v>
      </c>
      <c r="V19" s="15">
        <f t="shared" si="7"/>
        <v>0</v>
      </c>
      <c r="W19" s="15">
        <f t="shared" si="8"/>
        <v>0.29906196064954799</v>
      </c>
      <c r="X19" s="15">
        <f t="shared" si="9"/>
        <v>0.70093803935045207</v>
      </c>
      <c r="Y19" s="15">
        <f t="shared" si="10"/>
        <v>0</v>
      </c>
      <c r="Z19" s="15">
        <f t="shared" si="11"/>
        <v>0.99190637031502782</v>
      </c>
      <c r="AA19" s="15">
        <f t="shared" si="12"/>
        <v>8.0774629498784022E-3</v>
      </c>
      <c r="AB19" s="15">
        <f t="shared" si="13"/>
        <v>1.6166735093812573E-5</v>
      </c>
    </row>
    <row r="20" spans="1:28" x14ac:dyDescent="0.25">
      <c r="A20" s="8">
        <v>16</v>
      </c>
      <c r="B20" t="s">
        <v>230</v>
      </c>
      <c r="C20" s="9">
        <f t="shared" si="0"/>
        <v>6075489</v>
      </c>
      <c r="D20" s="10">
        <v>0</v>
      </c>
      <c r="E20" s="10">
        <v>6075489</v>
      </c>
      <c r="F20" s="10">
        <v>0</v>
      </c>
      <c r="G20" s="10">
        <v>3241213</v>
      </c>
      <c r="H20" s="10">
        <v>2834276</v>
      </c>
      <c r="I20" s="10">
        <v>0</v>
      </c>
      <c r="J20" s="9">
        <f t="shared" si="1"/>
        <v>23977299</v>
      </c>
      <c r="K20" s="10">
        <v>0</v>
      </c>
      <c r="L20" s="10">
        <v>23977299</v>
      </c>
      <c r="M20" s="10">
        <v>0</v>
      </c>
      <c r="N20" s="10">
        <v>18020613</v>
      </c>
      <c r="O20" s="10">
        <v>5956543</v>
      </c>
      <c r="P20" s="10">
        <v>143</v>
      </c>
      <c r="Q20" s="15">
        <f t="shared" si="2"/>
        <v>0</v>
      </c>
      <c r="R20" s="15">
        <f t="shared" si="3"/>
        <v>1</v>
      </c>
      <c r="S20" s="15">
        <f t="shared" si="4"/>
        <v>0</v>
      </c>
      <c r="T20" s="15">
        <f t="shared" si="5"/>
        <v>0.53349006145842748</v>
      </c>
      <c r="U20" s="15">
        <f t="shared" si="6"/>
        <v>0.46650993854157252</v>
      </c>
      <c r="V20" s="15">
        <f t="shared" si="7"/>
        <v>0</v>
      </c>
      <c r="W20" s="15">
        <f t="shared" si="8"/>
        <v>0</v>
      </c>
      <c r="X20" s="15">
        <f t="shared" si="9"/>
        <v>1</v>
      </c>
      <c r="Y20" s="15">
        <f t="shared" si="10"/>
        <v>0</v>
      </c>
      <c r="Z20" s="15">
        <f t="shared" si="11"/>
        <v>0.75156976605246484</v>
      </c>
      <c r="AA20" s="15">
        <f t="shared" si="12"/>
        <v>0.24842426997302741</v>
      </c>
      <c r="AB20" s="15">
        <f t="shared" si="13"/>
        <v>5.9639745077208241E-6</v>
      </c>
    </row>
    <row r="21" spans="1:28" x14ac:dyDescent="0.25">
      <c r="A21" s="8">
        <v>17</v>
      </c>
      <c r="B21" t="s">
        <v>212</v>
      </c>
      <c r="C21" s="9">
        <f t="shared" si="0"/>
        <v>5044281</v>
      </c>
      <c r="D21" s="10">
        <v>7187</v>
      </c>
      <c r="E21" s="10">
        <v>5037094</v>
      </c>
      <c r="F21" s="10">
        <v>0</v>
      </c>
      <c r="G21" s="10">
        <v>5015737</v>
      </c>
      <c r="H21" s="10">
        <v>2030</v>
      </c>
      <c r="I21" s="10">
        <v>26514</v>
      </c>
      <c r="J21" s="9">
        <f t="shared" si="1"/>
        <v>25988303</v>
      </c>
      <c r="K21" s="10">
        <v>126786</v>
      </c>
      <c r="L21" s="10">
        <v>10073840</v>
      </c>
      <c r="M21" s="10">
        <v>15787677</v>
      </c>
      <c r="N21" s="10">
        <v>25555024</v>
      </c>
      <c r="O21" s="10">
        <v>13260</v>
      </c>
      <c r="P21" s="10">
        <v>420019</v>
      </c>
      <c r="Q21" s="15">
        <f t="shared" si="2"/>
        <v>1.4247818470065406E-3</v>
      </c>
      <c r="R21" s="15">
        <f t="shared" si="3"/>
        <v>0.99857521815299344</v>
      </c>
      <c r="S21" s="15">
        <f t="shared" si="4"/>
        <v>0</v>
      </c>
      <c r="T21" s="15">
        <f t="shared" si="5"/>
        <v>0.99434131445095941</v>
      </c>
      <c r="U21" s="15">
        <f t="shared" si="6"/>
        <v>4.0243594676823117E-4</v>
      </c>
      <c r="V21" s="15">
        <f t="shared" si="7"/>
        <v>5.2562496022723554E-3</v>
      </c>
      <c r="W21" s="15">
        <f t="shared" si="8"/>
        <v>4.8785794132075498E-3</v>
      </c>
      <c r="X21" s="15">
        <f t="shared" si="9"/>
        <v>0.38762977328685139</v>
      </c>
      <c r="Y21" s="15">
        <f t="shared" si="10"/>
        <v>0.6074916472999411</v>
      </c>
      <c r="Z21" s="15">
        <f t="shared" si="11"/>
        <v>0.98332792256577894</v>
      </c>
      <c r="AA21" s="15">
        <f t="shared" si="12"/>
        <v>5.1022954442235036E-4</v>
      </c>
      <c r="AB21" s="15">
        <f t="shared" si="13"/>
        <v>1.6161847889798731E-2</v>
      </c>
    </row>
    <row r="22" spans="1:28" x14ac:dyDescent="0.25">
      <c r="A22" s="8">
        <v>18</v>
      </c>
      <c r="B22" t="s">
        <v>213</v>
      </c>
      <c r="C22" s="9">
        <f t="shared" si="0"/>
        <v>4574109</v>
      </c>
      <c r="D22" s="10">
        <v>0</v>
      </c>
      <c r="E22" s="10">
        <v>4574109</v>
      </c>
      <c r="F22" s="10">
        <v>0</v>
      </c>
      <c r="G22" s="10">
        <v>4571723</v>
      </c>
      <c r="H22" s="10">
        <v>2386</v>
      </c>
      <c r="I22" s="10">
        <v>0</v>
      </c>
      <c r="J22" s="9">
        <f t="shared" si="1"/>
        <v>159386507</v>
      </c>
      <c r="K22" s="10">
        <v>136</v>
      </c>
      <c r="L22" s="10">
        <v>159386371</v>
      </c>
      <c r="M22" s="10">
        <v>0</v>
      </c>
      <c r="N22" s="10">
        <v>158106053</v>
      </c>
      <c r="O22" s="10">
        <v>1280235</v>
      </c>
      <c r="P22" s="10">
        <v>219</v>
      </c>
      <c r="Q22" s="15">
        <f t="shared" si="2"/>
        <v>0</v>
      </c>
      <c r="R22" s="15">
        <f t="shared" si="3"/>
        <v>1</v>
      </c>
      <c r="S22" s="15">
        <f t="shared" si="4"/>
        <v>0</v>
      </c>
      <c r="T22" s="15">
        <f t="shared" si="5"/>
        <v>0.99947836835545456</v>
      </c>
      <c r="U22" s="15">
        <f t="shared" si="6"/>
        <v>5.216316445454186E-4</v>
      </c>
      <c r="V22" s="15">
        <f t="shared" si="7"/>
        <v>0</v>
      </c>
      <c r="W22" s="15">
        <f t="shared" si="8"/>
        <v>8.5327172644545122E-7</v>
      </c>
      <c r="X22" s="15">
        <f t="shared" si="9"/>
        <v>0.9999991467282735</v>
      </c>
      <c r="Y22" s="15">
        <f t="shared" si="10"/>
        <v>0</v>
      </c>
      <c r="Z22" s="15">
        <f t="shared" si="11"/>
        <v>0.99196635885872075</v>
      </c>
      <c r="AA22" s="15">
        <f t="shared" si="12"/>
        <v>8.0322671228374425E-3</v>
      </c>
      <c r="AB22" s="15">
        <f t="shared" si="13"/>
        <v>1.3740184418496604E-6</v>
      </c>
    </row>
    <row r="23" spans="1:28" x14ac:dyDescent="0.25">
      <c r="A23" s="8">
        <v>19</v>
      </c>
      <c r="B23" t="s">
        <v>214</v>
      </c>
      <c r="C23" s="9">
        <f t="shared" si="0"/>
        <v>3510270</v>
      </c>
      <c r="D23" s="10">
        <v>0</v>
      </c>
      <c r="E23" s="10">
        <v>3510270</v>
      </c>
      <c r="F23" s="10">
        <v>0</v>
      </c>
      <c r="G23" s="10">
        <v>3439890</v>
      </c>
      <c r="H23" s="10">
        <v>69783</v>
      </c>
      <c r="I23" s="10">
        <v>597</v>
      </c>
      <c r="J23" s="9">
        <f t="shared" si="1"/>
        <v>10232219</v>
      </c>
      <c r="K23" s="10">
        <v>0</v>
      </c>
      <c r="L23" s="10">
        <v>10232219</v>
      </c>
      <c r="M23" s="10">
        <v>0</v>
      </c>
      <c r="N23" s="10">
        <v>10051945</v>
      </c>
      <c r="O23" s="10">
        <v>178687</v>
      </c>
      <c r="P23" s="10">
        <v>1587</v>
      </c>
      <c r="Q23" s="15">
        <f t="shared" si="2"/>
        <v>0</v>
      </c>
      <c r="R23" s="15">
        <f t="shared" si="3"/>
        <v>1</v>
      </c>
      <c r="S23" s="15">
        <f t="shared" si="4"/>
        <v>0</v>
      </c>
      <c r="T23" s="15">
        <f t="shared" si="5"/>
        <v>0.97995026023639209</v>
      </c>
      <c r="U23" s="15">
        <f t="shared" si="6"/>
        <v>1.9879667376013811E-2</v>
      </c>
      <c r="V23" s="15">
        <f t="shared" si="7"/>
        <v>1.7007238759411669E-4</v>
      </c>
      <c r="W23" s="15">
        <f t="shared" si="8"/>
        <v>0</v>
      </c>
      <c r="X23" s="15">
        <f t="shared" si="9"/>
        <v>1</v>
      </c>
      <c r="Y23" s="15">
        <f t="shared" si="10"/>
        <v>0</v>
      </c>
      <c r="Z23" s="15">
        <f t="shared" si="11"/>
        <v>0.98238172971082816</v>
      </c>
      <c r="AA23" s="15">
        <f t="shared" si="12"/>
        <v>1.7463171966901805E-2</v>
      </c>
      <c r="AB23" s="15">
        <f t="shared" si="13"/>
        <v>1.5509832227007651E-4</v>
      </c>
    </row>
    <row r="24" spans="1:28" x14ac:dyDescent="0.25">
      <c r="A24" s="8">
        <v>20</v>
      </c>
      <c r="B24" t="s">
        <v>215</v>
      </c>
      <c r="C24" s="9">
        <f t="shared" si="0"/>
        <v>3240110</v>
      </c>
      <c r="D24" s="10">
        <v>158</v>
      </c>
      <c r="E24" s="10">
        <v>3239952</v>
      </c>
      <c r="F24" s="10">
        <v>0</v>
      </c>
      <c r="G24" s="10">
        <v>3235123</v>
      </c>
      <c r="H24" s="10">
        <v>4774</v>
      </c>
      <c r="I24" s="10">
        <v>213</v>
      </c>
      <c r="J24" s="9">
        <f t="shared" si="1"/>
        <v>121378308</v>
      </c>
      <c r="K24" s="10">
        <v>13832</v>
      </c>
      <c r="L24" s="10">
        <v>121364476</v>
      </c>
      <c r="M24" s="10">
        <v>0</v>
      </c>
      <c r="N24" s="10">
        <v>113177948</v>
      </c>
      <c r="O24" s="10">
        <v>8179228</v>
      </c>
      <c r="P24" s="10">
        <v>21132</v>
      </c>
      <c r="Q24" s="15">
        <f t="shared" si="2"/>
        <v>4.8763776538450852E-5</v>
      </c>
      <c r="R24" s="15">
        <f t="shared" si="3"/>
        <v>0.9999512362234616</v>
      </c>
      <c r="S24" s="15">
        <f t="shared" si="4"/>
        <v>0</v>
      </c>
      <c r="T24" s="15">
        <f t="shared" si="5"/>
        <v>0.99846085472406798</v>
      </c>
      <c r="U24" s="15">
        <f t="shared" si="6"/>
        <v>1.4734067670542049E-3</v>
      </c>
      <c r="V24" s="15">
        <f t="shared" si="7"/>
        <v>6.5738508877785017E-5</v>
      </c>
      <c r="W24" s="15">
        <f t="shared" si="8"/>
        <v>1.1395775923981409E-4</v>
      </c>
      <c r="X24" s="15">
        <f t="shared" si="9"/>
        <v>0.99988604224076016</v>
      </c>
      <c r="Y24" s="15">
        <f t="shared" si="10"/>
        <v>0</v>
      </c>
      <c r="Z24" s="15">
        <f t="shared" si="11"/>
        <v>0.93243965799885764</v>
      </c>
      <c r="AA24" s="15">
        <f t="shared" si="12"/>
        <v>6.7386241699793667E-2</v>
      </c>
      <c r="AB24" s="15">
        <f t="shared" si="13"/>
        <v>1.7410030134873853E-4</v>
      </c>
    </row>
    <row r="25" spans="1:28" x14ac:dyDescent="0.25">
      <c r="A25" s="8">
        <v>21</v>
      </c>
      <c r="B25" t="s">
        <v>216</v>
      </c>
      <c r="C25" s="9">
        <f t="shared" si="0"/>
        <v>2410588</v>
      </c>
      <c r="D25" s="10">
        <v>0</v>
      </c>
      <c r="E25" s="10">
        <v>2410588</v>
      </c>
      <c r="F25" s="10">
        <v>0</v>
      </c>
      <c r="G25" s="10">
        <v>1755112</v>
      </c>
      <c r="H25" s="10">
        <v>655476</v>
      </c>
      <c r="I25" s="10">
        <v>0</v>
      </c>
      <c r="J25" s="9">
        <f t="shared" si="1"/>
        <v>4838982</v>
      </c>
      <c r="K25" s="10">
        <v>0</v>
      </c>
      <c r="L25" s="10">
        <v>4838982</v>
      </c>
      <c r="M25" s="10">
        <v>0</v>
      </c>
      <c r="N25" s="10">
        <v>3516492</v>
      </c>
      <c r="O25" s="10">
        <v>1322209</v>
      </c>
      <c r="P25" s="10">
        <v>281</v>
      </c>
      <c r="Q25" s="15">
        <f t="shared" si="2"/>
        <v>0</v>
      </c>
      <c r="R25" s="15">
        <f t="shared" si="3"/>
        <v>1</v>
      </c>
      <c r="S25" s="15">
        <f t="shared" si="4"/>
        <v>0</v>
      </c>
      <c r="T25" s="15">
        <f t="shared" si="5"/>
        <v>0.72808460010586629</v>
      </c>
      <c r="U25" s="15">
        <f t="shared" si="6"/>
        <v>0.27191539989413371</v>
      </c>
      <c r="V25" s="15">
        <f t="shared" si="7"/>
        <v>0</v>
      </c>
      <c r="W25" s="15">
        <f t="shared" si="8"/>
        <v>0</v>
      </c>
      <c r="X25" s="15">
        <f t="shared" si="9"/>
        <v>1</v>
      </c>
      <c r="Y25" s="15">
        <f t="shared" si="10"/>
        <v>0</v>
      </c>
      <c r="Z25" s="15">
        <f t="shared" si="11"/>
        <v>0.72670078128002957</v>
      </c>
      <c r="AA25" s="15">
        <f t="shared" si="12"/>
        <v>0.27324114865482035</v>
      </c>
      <c r="AB25" s="15">
        <f t="shared" si="13"/>
        <v>5.8070065150066688E-5</v>
      </c>
    </row>
    <row r="26" spans="1:28" x14ac:dyDescent="0.25">
      <c r="A26" s="8">
        <v>22</v>
      </c>
      <c r="B26" t="s">
        <v>231</v>
      </c>
      <c r="C26" s="9">
        <f t="shared" si="0"/>
        <v>987082</v>
      </c>
      <c r="D26" s="10">
        <v>0</v>
      </c>
      <c r="E26" s="10">
        <v>987082</v>
      </c>
      <c r="F26" s="10">
        <v>0</v>
      </c>
      <c r="G26" s="10">
        <v>544530</v>
      </c>
      <c r="H26" s="10">
        <v>442552</v>
      </c>
      <c r="I26" s="10">
        <v>0</v>
      </c>
      <c r="J26" s="9">
        <f t="shared" si="1"/>
        <v>22126443</v>
      </c>
      <c r="K26" s="10">
        <v>0</v>
      </c>
      <c r="L26" s="10">
        <v>22126443</v>
      </c>
      <c r="M26" s="10">
        <v>0</v>
      </c>
      <c r="N26" s="10">
        <v>15841110</v>
      </c>
      <c r="O26" s="10">
        <v>6284246</v>
      </c>
      <c r="P26" s="10">
        <v>1087</v>
      </c>
      <c r="Q26" s="15">
        <f t="shared" si="2"/>
        <v>0</v>
      </c>
      <c r="R26" s="15">
        <f t="shared" si="3"/>
        <v>1</v>
      </c>
      <c r="S26" s="15">
        <f t="shared" si="4"/>
        <v>0</v>
      </c>
      <c r="T26" s="15">
        <f t="shared" si="5"/>
        <v>0.55165629603214328</v>
      </c>
      <c r="U26" s="15">
        <f t="shared" si="6"/>
        <v>0.44834370396785678</v>
      </c>
      <c r="V26" s="15">
        <f t="shared" si="7"/>
        <v>0</v>
      </c>
      <c r="W26" s="15">
        <f t="shared" si="8"/>
        <v>0</v>
      </c>
      <c r="X26" s="15">
        <f t="shared" si="9"/>
        <v>1</v>
      </c>
      <c r="Y26" s="15">
        <f t="shared" si="10"/>
        <v>0</v>
      </c>
      <c r="Z26" s="15">
        <f t="shared" si="11"/>
        <v>0.71593567931366109</v>
      </c>
      <c r="AA26" s="15">
        <f t="shared" si="12"/>
        <v>0.28401519394689873</v>
      </c>
      <c r="AB26" s="15">
        <f t="shared" si="13"/>
        <v>4.9126739440225437E-5</v>
      </c>
    </row>
    <row r="27" spans="1:28" x14ac:dyDescent="0.25">
      <c r="A27" s="8">
        <v>23</v>
      </c>
      <c r="B27" t="s">
        <v>217</v>
      </c>
      <c r="C27" s="9">
        <f t="shared" si="0"/>
        <v>122499</v>
      </c>
      <c r="D27" s="10">
        <v>0</v>
      </c>
      <c r="E27" s="10">
        <v>122499</v>
      </c>
      <c r="F27" s="10">
        <v>0</v>
      </c>
      <c r="G27" s="10">
        <v>122499</v>
      </c>
      <c r="H27" s="10">
        <v>0</v>
      </c>
      <c r="I27" s="10">
        <v>0</v>
      </c>
      <c r="J27" s="9">
        <f t="shared" si="1"/>
        <v>323862297</v>
      </c>
      <c r="K27" s="10">
        <v>1588671</v>
      </c>
      <c r="L27" s="10">
        <v>322273626</v>
      </c>
      <c r="M27" s="10">
        <v>0</v>
      </c>
      <c r="N27" s="10">
        <v>322863431</v>
      </c>
      <c r="O27" s="10">
        <v>894482</v>
      </c>
      <c r="P27" s="10">
        <v>104384</v>
      </c>
      <c r="Q27" s="15">
        <f t="shared" si="2"/>
        <v>0</v>
      </c>
      <c r="R27" s="15">
        <f t="shared" si="3"/>
        <v>1</v>
      </c>
      <c r="S27" s="15">
        <f t="shared" si="4"/>
        <v>0</v>
      </c>
      <c r="T27" s="15">
        <f t="shared" si="5"/>
        <v>1</v>
      </c>
      <c r="U27" s="15">
        <f t="shared" si="6"/>
        <v>0</v>
      </c>
      <c r="V27" s="15">
        <f t="shared" si="7"/>
        <v>0</v>
      </c>
      <c r="W27" s="15">
        <f t="shared" si="8"/>
        <v>4.9053903918923909E-3</v>
      </c>
      <c r="X27" s="15">
        <f t="shared" si="9"/>
        <v>0.99509460960810758</v>
      </c>
      <c r="Y27" s="15">
        <f t="shared" si="10"/>
        <v>0</v>
      </c>
      <c r="Z27" s="15">
        <f t="shared" si="11"/>
        <v>0.99691576942035953</v>
      </c>
      <c r="AA27" s="15">
        <f t="shared" si="12"/>
        <v>2.7619207554746639E-3</v>
      </c>
      <c r="AB27" s="15">
        <f t="shared" si="13"/>
        <v>3.2230982416579351E-4</v>
      </c>
    </row>
    <row r="28" spans="1:28" x14ac:dyDescent="0.25">
      <c r="B28" t="s">
        <v>224</v>
      </c>
      <c r="C28" s="9">
        <f t="shared" si="0"/>
        <v>0</v>
      </c>
      <c r="D28" s="10"/>
      <c r="E28" s="10"/>
      <c r="F28" s="10"/>
      <c r="G28" s="10"/>
      <c r="H28" s="10"/>
      <c r="I28" s="10"/>
      <c r="J28" s="9">
        <f t="shared" si="1"/>
        <v>1140606882</v>
      </c>
      <c r="K28" s="10">
        <v>1780292</v>
      </c>
      <c r="L28" s="10">
        <v>1137916104</v>
      </c>
      <c r="M28" s="10">
        <v>910486</v>
      </c>
      <c r="N28" s="10">
        <v>1084439534</v>
      </c>
      <c r="O28" s="10">
        <v>51798630</v>
      </c>
      <c r="P28" s="10">
        <v>4368718</v>
      </c>
      <c r="Q28" s="15" t="e">
        <f t="shared" si="2"/>
        <v>#DIV/0!</v>
      </c>
      <c r="R28" s="15" t="e">
        <f t="shared" si="3"/>
        <v>#DIV/0!</v>
      </c>
      <c r="S28" s="15" t="e">
        <f t="shared" si="4"/>
        <v>#DIV/0!</v>
      </c>
      <c r="T28" s="15" t="e">
        <f t="shared" si="5"/>
        <v>#DIV/0!</v>
      </c>
      <c r="U28" s="15" t="e">
        <f t="shared" si="6"/>
        <v>#DIV/0!</v>
      </c>
      <c r="V28" s="15" t="e">
        <f t="shared" si="7"/>
        <v>#DIV/0!</v>
      </c>
      <c r="W28" s="15">
        <f t="shared" si="8"/>
        <v>1.5608287378367756E-3</v>
      </c>
      <c r="X28" s="15">
        <f t="shared" si="9"/>
        <v>0.99764092428121964</v>
      </c>
      <c r="Y28" s="15">
        <f t="shared" si="10"/>
        <v>7.9824698094360614E-4</v>
      </c>
      <c r="Z28" s="15">
        <f t="shared" si="11"/>
        <v>0.95075661133876976</v>
      </c>
      <c r="AA28" s="15">
        <f t="shared" si="12"/>
        <v>4.5413218890257408E-2</v>
      </c>
      <c r="AB28" s="15">
        <f t="shared" si="13"/>
        <v>3.8301697709728529E-3</v>
      </c>
    </row>
    <row r="29" spans="1:28" x14ac:dyDescent="0.25">
      <c r="B29" t="s">
        <v>226</v>
      </c>
      <c r="C29" s="9">
        <f t="shared" si="0"/>
        <v>1819132507</v>
      </c>
      <c r="D29" s="10">
        <v>4992822</v>
      </c>
      <c r="E29" s="10">
        <v>1811897894</v>
      </c>
      <c r="F29" s="10">
        <v>2241791</v>
      </c>
      <c r="G29" s="10">
        <v>1619878756</v>
      </c>
      <c r="H29" s="10">
        <v>197368853</v>
      </c>
      <c r="I29" s="10">
        <v>1884898</v>
      </c>
      <c r="J29" s="9">
        <f t="shared" si="1"/>
        <v>12048572495</v>
      </c>
      <c r="K29" s="10">
        <v>509053372</v>
      </c>
      <c r="L29" s="10">
        <v>11442503659</v>
      </c>
      <c r="M29" s="10">
        <v>97015464</v>
      </c>
      <c r="N29" s="10">
        <v>9335885053</v>
      </c>
      <c r="O29" s="10">
        <v>1837562131</v>
      </c>
      <c r="P29" s="10">
        <v>875125311</v>
      </c>
      <c r="Q29" s="15">
        <f t="shared" si="2"/>
        <v>2.7446169978204891E-3</v>
      </c>
      <c r="R29" s="15">
        <f t="shared" si="3"/>
        <v>0.99602304231705974</v>
      </c>
      <c r="S29" s="15">
        <f t="shared" si="4"/>
        <v>1.2323406851197565E-3</v>
      </c>
      <c r="T29" s="15">
        <f t="shared" si="5"/>
        <v>0.89046770906832018</v>
      </c>
      <c r="U29" s="15">
        <f t="shared" si="6"/>
        <v>0.10849613881370765</v>
      </c>
      <c r="V29" s="15">
        <f t="shared" si="7"/>
        <v>1.0361521179721297E-3</v>
      </c>
      <c r="W29" s="15">
        <f t="shared" si="8"/>
        <v>4.2250098276061375E-2</v>
      </c>
      <c r="X29" s="15">
        <f t="shared" si="9"/>
        <v>0.94969787198844424</v>
      </c>
      <c r="Y29" s="15">
        <f t="shared" si="10"/>
        <v>8.0520297354944037E-3</v>
      </c>
      <c r="Z29" s="15">
        <f t="shared" si="11"/>
        <v>0.77485403825841359</v>
      </c>
      <c r="AA29" s="15">
        <f t="shared" si="12"/>
        <v>0.1525128501125394</v>
      </c>
      <c r="AB29" s="15">
        <f t="shared" si="13"/>
        <v>7.2633111629046967E-2</v>
      </c>
    </row>
  </sheetData>
  <autoFilter ref="A4:AB4" xr:uid="{C453D398-9CDB-4D34-A00C-7491D1276DF9}">
    <sortState ref="A5:AB29">
      <sortCondition ref="A4"/>
    </sortState>
  </autoFilter>
  <mergeCells count="2">
    <mergeCell ref="C3:I3"/>
    <mergeCell ref="J3:P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RAW</vt:lpstr>
      <vt:lpstr>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谢品端</cp:lastModifiedBy>
  <dcterms:created xsi:type="dcterms:W3CDTF">2026-09-04T10:05:09Z</dcterms:created>
  <dcterms:modified xsi:type="dcterms:W3CDTF">2026-09-24T10:51:47Z</dcterms:modified>
</cp:coreProperties>
</file>